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60648c681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Master" sheetId="1" r:id="R9bf47fa8781a4879"/>
    <x:sheet xmlns:r="http://schemas.openxmlformats.org/officeDocument/2006/relationships" name="Summary" sheetId="2" r:id="Rd3a5f07ed1d04458"/>
    <x:sheet xmlns:r="http://schemas.openxmlformats.org/officeDocument/2006/relationships" name="Build_Assumptions" sheetId="3" r:id="R4562da3b9d144422"/>
    <x:sheet xmlns:r="http://schemas.openxmlformats.org/officeDocument/2006/relationships" name="License_Refs" sheetId="4" r:id="R2aa5f160d4344676"/>
  </x:sheets>
  <x:definedNames>
    <x:definedName name="_xlnm._FilterDatabase" localSheetId="0" hidden="1">'BOM_Master'!$A$1:$Q$38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M1" authorId="0">
      <x:text>
        <x:r>
          <x:t>Editable unit-cost input column (blue font).</x:t>
        </x:r>
      </x:text>
    </x:comment>
    <x:comment ref="O1" authorId="0">
      <x:text>
        <x:r>
          <x:t>Formula-driven extended cost.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.00;[Red]($#,##0.00);-"/>
  </x:numFmts>
  <x:fonts count="7">
    <x:font>
      <x:sz val="11"/>
      <x:color theme="1"/>
      <x:name val="Calibri"/>
      <x:family val="2"/>
      <x:scheme val="minor"/>
    </x:font>
    <x:font>
      <x:b/>
      <x:color rgb="00FFFFFF"/>
    </x:font>
    <x:font>
      <x:color rgb="00666666"/>
    </x:font>
    <x:font>
      <x:color rgb="000000FF"/>
    </x:font>
    <x:font>
      <x:color rgb="00000000"/>
    </x:font>
    <x:font>
      <x:b/>
      <x:sz val="14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bottom style="thin">
        <x:color rgb="00BFBFB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1" xfId="0" applyAlignment="1">
      <x:alignment vertical="top" wrapText="1"/>
    </x:xf>
    <x:xf numFmtId="0" fontId="2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1" fontId="2" fillId="0" borderId="0" xfId="0" applyAlignment="1">
      <x:alignment vertical="top" wrapText="1"/>
    </x:xf>
    <x:xf numFmtId="164" fontId="3" fillId="0" borderId="0" xfId="0" applyAlignment="1">
      <x:alignment vertical="top" wrapText="1"/>
    </x:xf>
    <x:xf numFmtId="164" fontId="4" fillId="0" borderId="0" xfId="0" applyAlignment="1">
      <x:alignment vertical="top" wrapText="1"/>
    </x:xf>
    <x:xf numFmtId="0" fontId="2" fillId="4" borderId="0" xfId="0" applyAlignment="1">
      <x:alignment vertical="top" wrapText="1"/>
    </x:xf>
    <x:xf numFmtId="1" fontId="2" fillId="4" borderId="0" xfId="0" applyAlignment="1">
      <x:alignment vertical="top" wrapText="1"/>
    </x:xf>
    <x:xf numFmtId="164" fontId="3" fillId="4" borderId="0" xfId="0" applyAlignment="1">
      <x:alignment vertical="top" wrapText="1"/>
    </x:xf>
    <x:xf numFmtId="164" fontId="4" fillId="4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1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c608cfb4a408e" /><Relationship Type="http://schemas.openxmlformats.org/officeDocument/2006/relationships/theme" Target="/xl/theme/theme1.xml" Id="R88b4113d76b34635" /><Relationship Type="http://schemas.openxmlformats.org/officeDocument/2006/relationships/sharedStrings" Target="/xl/sharedStrings.xml" Id="R934d2332a9014a5b" /><Relationship Type="http://schemas.openxmlformats.org/officeDocument/2006/relationships/worksheet" Target="/xl/worksheets/sheet1.xml" Id="R9bf47fa8781a4879" /><Relationship Type="http://schemas.openxmlformats.org/officeDocument/2006/relationships/worksheet" Target="/xl/worksheets/sheet2.xml" Id="Rd3a5f07ed1d04458" /><Relationship Type="http://schemas.openxmlformats.org/officeDocument/2006/relationships/worksheet" Target="/xl/worksheets/sheet3.xml" Id="R4562da3b9d144422" /><Relationship Type="http://schemas.openxmlformats.org/officeDocument/2006/relationships/worksheet" Target="/xl/worksheets/sheet4.xml" Id="R2aa5f160d4344676" /><Relationship Type="http://schemas.microsoft.com/office/2017/10/relationships/person" Target="/xl/persons/person.xml" Id="R50fa60e78c464957" /></Relationships>
</file>

<file path=xl/persons/person.xml><?xml version="1.0" encoding="utf-8"?>
<xltc:personList xmlns:xltc="http://schemas.microsoft.com/office/spreadsheetml/2018/threadedcomments">
  <xltc:person displayName="OpenAI" id="{87882949-8B63-36B3-CCAB-23D5EE17C29E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c516d5a6155465c" /><Relationship Type="http://schemas.openxmlformats.org/officeDocument/2006/relationships/vmlDrawing" Target="/xl/drawings/vmldrawing.vml" Id="R085ea298ae3741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4" customWidth="1"/>
    <x:col min="3" max="3" width="24" customWidth="1"/>
    <x:col min="4" max="4" width="24" customWidth="1"/>
    <x:col min="5" max="5" width="12" customWidth="1"/>
    <x:col min="6" max="6" width="8" customWidth="1"/>
    <x:col min="7" max="7" width="18" customWidth="1"/>
    <x:col min="8" max="8" width="20" customWidth="1"/>
    <x:col min="9" max="9" width="18" customWidth="1"/>
    <x:col min="10" max="10" width="28" customWidth="1"/>
    <x:col min="11" max="11" width="24" customWidth="1"/>
    <x:col min="12" max="12" width="16" customWidth="1"/>
    <x:col min="13" max="13" width="11" customWidth="1"/>
    <x:col min="14" max="14" width="9" customWidth="1"/>
    <x:col min="15" max="15" width="12" customWidth="1"/>
    <x:col min="16" max="16" width="34" customWidth="1"/>
    <x:col min="17" max="17" width="42" customWidth="1"/>
  </x:cols>
  <x:sheetData>
    <x:row r="1" ht="24" customHeight="1">
      <x:c r="A1" s="1" t="inlineStr">
        <x:is>
          <x:t xml:space="preserve">Item No</x:t>
        </x:is>
      </x:c>
      <x:c r="B1" s="1" t="inlineStr">
        <x:is>
          <x:t xml:space="preserve">Category</x:t>
        </x:is>
      </x:c>
      <x:c r="C1" s="1" t="inlineStr">
        <x:is>
          <x:t xml:space="preserve">Part Name</x:t>
        </x:is>
      </x:c>
      <x:c r="D1" s="1" t="inlineStr">
        <x:is>
          <x:t xml:space="preserve">Variant / Detail</x:t>
        </x:is>
      </x:c>
      <x:c r="E1" s="1" t="inlineStr">
        <x:is>
          <x:t xml:space="preserve">Qty / Robot</x:t>
        </x:is>
      </x:c>
      <x:c r="F1" s="1" t="inlineStr">
        <x:is>
          <x:t xml:space="preserve">Unit</x:t>
        </x:is>
      </x:c>
      <x:c r="G1" s="1" t="inlineStr">
        <x:is>
          <x:t xml:space="preserve">Required For</x:t>
        </x:is>
      </x:c>
      <x:c r="H1" s="1" t="inlineStr">
        <x:is>
          <x:t xml:space="preserve">Include in Digital Package?</x:t>
        </x:is>
      </x:c>
      <x:c r="I1" s="1" t="inlineStr">
        <x:is>
          <x:t xml:space="preserve">Include in Physical Kit?</x:t>
        </x:is>
      </x:c>
      <x:c r="J1" s="1" t="inlineStr">
        <x:is>
          <x:t xml:space="preserve">Source Basis</x:t>
        </x:is>
      </x:c>
      <x:c r="K1" s="1" t="inlineStr">
        <x:is>
          <x:t xml:space="preserve">Brand / Compatibility Ref</x:t>
        </x:is>
      </x:c>
      <x:c r="L1" s="1" t="inlineStr">
        <x:is>
          <x:t xml:space="preserve">Verify Before Sale?</x:t>
        </x:is>
      </x:c>
      <x:c r="M1" s="1" t="inlineStr">
        <x:is>
          <x:t xml:space="preserve">Unit Cost</x:t>
        </x:is>
      </x:c>
      <x:c r="N1" s="1" t="inlineStr">
        <x:is>
          <x:t xml:space="preserve">Currency</x:t>
        </x:is>
      </x:c>
      <x:c r="O1" s="1" t="inlineStr">
        <x:is>
          <x:t xml:space="preserve">Ext Cost</x:t>
        </x:is>
      </x:c>
      <x:c r="P1" s="1" t="inlineStr">
        <x:is>
          <x:t xml:space="preserve">Source URL / Reference</x:t>
        </x:is>
      </x:c>
      <x:c r="Q1" s="1" t="inlineStr">
        <x:is>
          <x:t xml:space="preserve">Notes</x:t>
        </x:is>
      </x:c>
    </x:row>
    <x:row r="2">
      <x:c r="A2" s="2" t="n">
        <x:v>1</x:v>
      </x:c>
      <x:c r="B2" s="3" t="inlineStr">
        <x:is>
          <x:t xml:space="preserve">3D Printed</x:t>
        </x:is>
      </x:c>
      <x:c r="C2" s="2" t="inlineStr">
        <x:is>
          <x:t xml:space="preserve">ChassisLower.stl</x:t>
        </x:is>
      </x:c>
      <x:c r="D2" s="2" t="inlineStr">
        <x:is>
          <x:t xml:space="preserve">Main lower chassis</x:t>
        </x:is>
      </x:c>
      <x:c r="E2" s="4" t="n">
        <x:v>1</x:v>
      </x:c>
      <x:c r="F2" s="2" t="inlineStr">
        <x:is>
          <x:t xml:space="preserve">pc</x:t>
        </x:is>
      </x:c>
      <x:c r="G2" s="2" t="inlineStr">
        <x:is>
          <x:t xml:space="preserve">Robot body</x:t>
        </x:is>
      </x:c>
      <x:c r="H2" s="2" t="inlineStr">
        <x:is>
          <x:t xml:space="preserve">No</x:t>
        </x:is>
      </x:c>
      <x:c r="I2" s="2" t="inlineStr">
        <x:is>
          <x:t xml:space="preserve">Yes</x:t>
        </x:is>
      </x:c>
      <x:c r="J2" s="2" t="inlineStr">
        <x:is>
          <x:t xml:space="preserve">Uploaded assembly guide + STL list</x:t>
        </x:is>
      </x:c>
      <x:c r="K2" s="2" t="inlineStr">
        <x:is>
          <x:t xml:space="preserve">CinoGear custom frame</x:t>
        </x:is>
      </x:c>
      <x:c r="L2" s="2" t="inlineStr">
        <x:is>
          <x:t xml:space="preserve">No</x:t>
        </x:is>
      </x:c>
      <x:c r="M2" s="5" t="inlineStr">
        <x:is>
          <x:t xml:space="preserve"/>
        </x:is>
      </x:c>
      <x:c r="N2" s="2" t="inlineStr">
        <x:is>
          <x:t xml:space="preserve">USD</x:t>
        </x:is>
      </x:c>
      <x:c r="O2" s="6">
        <x:f>IF(AND(M2&lt;&gt;"",E2&lt;&gt;""),M2*E2,"")</x:f>
      </x:c>
      <x:c r="P2" s="2" t="inlineStr">
        <x:is>
          <x:t xml:space="preserve"/>
        </x:is>
      </x:c>
      <x:c r="Q2" s="2" t="inlineStr">
        <x:is>
          <x:t xml:space="preserve">Mounts SSC-32 on top face.</x:t>
        </x:is>
      </x:c>
    </x:row>
    <x:row r="3">
      <x:c r="A3" s="2" t="n">
        <x:v>2</x:v>
      </x:c>
      <x:c r="B3" s="3" t="inlineStr">
        <x:is>
          <x:t xml:space="preserve">3D Printed</x:t>
        </x:is>
      </x:c>
      <x:c r="C3" s="2" t="inlineStr">
        <x:is>
          <x:t xml:space="preserve">ChassisUpper.stl</x:t>
        </x:is>
      </x:c>
      <x:c r="D3" s="2" t="inlineStr">
        <x:is>
          <x:t xml:space="preserve">Main upper chassis</x:t>
        </x:is>
      </x:c>
      <x:c r="E3" s="4" t="n">
        <x:v>1</x:v>
      </x:c>
      <x:c r="F3" s="2" t="inlineStr">
        <x:is>
          <x:t xml:space="preserve">pc</x:t>
        </x:is>
      </x:c>
      <x:c r="G3" s="2" t="inlineStr">
        <x:is>
          <x:t xml:space="preserve">Robot body</x:t>
        </x:is>
      </x:c>
      <x:c r="H3" s="2" t="inlineStr">
        <x:is>
          <x:t xml:space="preserve">No</x:t>
        </x:is>
      </x:c>
      <x:c r="I3" s="2" t="inlineStr">
        <x:is>
          <x:t xml:space="preserve">Yes</x:t>
        </x:is>
      </x:c>
      <x:c r="J3" s="2" t="inlineStr">
        <x:is>
          <x:t xml:space="preserve">Uploaded STL list</x:t>
        </x:is>
      </x:c>
      <x:c r="K3" s="2" t="inlineStr">
        <x:is>
          <x:t xml:space="preserve">CinoGear custom frame</x:t>
        </x:is>
      </x:c>
      <x:c r="L3" s="2" t="inlineStr">
        <x:is>
          <x:t xml:space="preserve">No</x:t>
        </x:is>
      </x:c>
      <x:c r="M3" s="5" t="inlineStr">
        <x:is>
          <x:t xml:space="preserve"/>
        </x:is>
      </x:c>
      <x:c r="N3" s="2" t="inlineStr">
        <x:is>
          <x:t xml:space="preserve">USD</x:t>
        </x:is>
      </x:c>
      <x:c r="O3" s="6">
        <x:f>IF(AND(M3&lt;&gt;"",E3&lt;&gt;""),M3*E3,"")</x:f>
      </x:c>
      <x:c r="P3" s="2" t="inlineStr">
        <x:is>
          <x:t xml:space="preserve"/>
        </x:is>
      </x:c>
      <x:c r="Q3" s="2" t="inlineStr">
        <x:is>
          <x:t xml:space="preserve">Upper body frame.</x:t>
        </x:is>
      </x:c>
    </x:row>
    <x:row r="4">
      <x:c r="A4" s="2" t="n">
        <x:v>3</x:v>
      </x:c>
      <x:c r="B4" s="3" t="inlineStr">
        <x:is>
          <x:t xml:space="preserve">3D Printed</x:t>
        </x:is>
      </x:c>
      <x:c r="C4" s="2" t="inlineStr">
        <x:is>
          <x:t xml:space="preserve">Coxa.stl</x:t>
        </x:is>
      </x:c>
      <x:c r="D4" s="2" t="inlineStr">
        <x:is>
          <x:t xml:space="preserve">Default build</x:t>
        </x:is>
      </x:c>
      <x:c r="E4" s="4" t="n">
        <x:v>6</x:v>
      </x:c>
      <x:c r="F4" s="2" t="inlineStr">
        <x:is>
          <x:t xml:space="preserve">pc</x:t>
        </x:is>
      </x:c>
      <x:c r="G4" s="2" t="inlineStr">
        <x:is>
          <x:t xml:space="preserve">Leg structure</x:t>
        </x:is>
      </x:c>
      <x:c r="H4" s="2" t="inlineStr">
        <x:is>
          <x:t xml:space="preserve">No</x:t>
        </x:is>
      </x:c>
      <x:c r="I4" s="2" t="inlineStr">
        <x:is>
          <x:t xml:space="preserve">Yes</x:t>
        </x:is>
      </x:c>
      <x:c r="J4" s="2" t="inlineStr">
        <x:is>
          <x:t xml:space="preserve">Assembly guide section 1.2.1</x:t>
        </x:is>
      </x:c>
      <x:c r="K4" s="2" t="inlineStr">
        <x:is>
          <x:t xml:space="preserve">CinoGear leg part</x:t>
        </x:is>
      </x:c>
      <x:c r="L4" s="2" t="inlineStr">
        <x:is>
          <x:t xml:space="preserve">No</x:t>
        </x:is>
      </x:c>
      <x:c r="M4" s="5" t="inlineStr">
        <x:is>
          <x:t xml:space="preserve"/>
        </x:is>
      </x:c>
      <x:c r="N4" s="2" t="inlineStr">
        <x:is>
          <x:t xml:space="preserve">USD</x:t>
        </x:is>
      </x:c>
      <x:c r="O4" s="6">
        <x:f>IF(AND(M4&lt;&gt;"",E4&lt;&gt;""),M4*E4,"")</x:f>
      </x:c>
      <x:c r="P4" s="2" t="inlineStr">
        <x:is>
          <x:t xml:space="preserve"/>
        </x:is>
      </x:c>
      <x:c r="Q4" s="2" t="inlineStr">
        <x:is>
          <x:t xml:space="preserve">For mirrored build, replace 3 pcs with Coxa_Mirror.stl.</x:t>
        </x:is>
      </x:c>
    </x:row>
    <x:row r="5">
      <x:c r="A5" s="2" t="n">
        <x:v>4</x:v>
      </x:c>
      <x:c r="B5" s="3" t="inlineStr">
        <x:is>
          <x:t xml:space="preserve">3D Printed</x:t>
        </x:is>
      </x:c>
      <x:c r="C5" s="2" t="inlineStr">
        <x:is>
          <x:t xml:space="preserve">CoxaBearingMount.stl</x:t>
        </x:is>
      </x:c>
      <x:c r="D5" s="2" t="inlineStr">
        <x:is>
          <x:t xml:space="preserve">Coxa idler mount</x:t>
        </x:is>
      </x:c>
      <x:c r="E5" s="4" t="n">
        <x:v>6</x:v>
      </x:c>
      <x:c r="F5" s="2" t="inlineStr">
        <x:is>
          <x:t xml:space="preserve">pc</x:t>
        </x:is>
      </x:c>
      <x:c r="G5" s="2" t="inlineStr">
        <x:is>
          <x:t xml:space="preserve">Leg structure</x:t>
        </x:is>
      </x:c>
      <x:c r="H5" s="2" t="inlineStr">
        <x:is>
          <x:t xml:space="preserve">No</x:t>
        </x:is>
      </x:c>
      <x:c r="I5" s="2" t="inlineStr">
        <x:is>
          <x:t xml:space="preserve">Yes</x:t>
        </x:is>
      </x:c>
      <x:c r="J5" s="2" t="inlineStr">
        <x:is>
          <x:t xml:space="preserve">Assembly guide section 1.1.1</x:t>
        </x:is>
      </x:c>
      <x:c r="K5" s="2" t="inlineStr">
        <x:is>
          <x:t xml:space="preserve">CinoGear leg part</x:t>
        </x:is>
      </x:c>
      <x:c r="L5" s="2" t="inlineStr">
        <x:is>
          <x:t xml:space="preserve">No</x:t>
        </x:is>
      </x:c>
      <x:c r="M5" s="5" t="inlineStr">
        <x:is>
          <x:t xml:space="preserve"/>
        </x:is>
      </x:c>
      <x:c r="N5" s="2" t="inlineStr">
        <x:is>
          <x:t xml:space="preserve">USD</x:t>
        </x:is>
      </x:c>
      <x:c r="O5" s="6">
        <x:f>IF(AND(M5&lt;&gt;"",E5&lt;&gt;""),M5*E5,"")</x:f>
      </x:c>
      <x:c r="P5" s="2" t="inlineStr">
        <x:is>
          <x:t xml:space="preserve"/>
        </x:is>
      </x:c>
      <x:c r="Q5" s="2" t="inlineStr">
        <x:is>
          <x:t xml:space="preserve">One per leg.</x:t>
        </x:is>
      </x:c>
    </x:row>
    <x:row r="6">
      <x:c r="A6" s="2" t="n">
        <x:v>5</x:v>
      </x:c>
      <x:c r="B6" s="3" t="inlineStr">
        <x:is>
          <x:t xml:space="preserve">3D Printed</x:t>
        </x:is>
      </x:c>
      <x:c r="C6" s="2" t="inlineStr">
        <x:is>
          <x:t xml:space="preserve">BearingOuter-15mmID.stl</x:t>
        </x:is>
      </x:c>
      <x:c r="D6" s="2" t="inlineStr">
        <x:is>
          <x:t xml:space="preserve">Coxa bearing outer</x:t>
        </x:is>
      </x:c>
      <x:c r="E6" s="4" t="n">
        <x:v>6</x:v>
      </x:c>
      <x:c r="F6" s="2" t="inlineStr">
        <x:is>
          <x:t xml:space="preserve">pc</x:t>
        </x:is>
      </x:c>
      <x:c r="G6" s="2" t="inlineStr">
        <x:is>
          <x:t xml:space="preserve">Leg structure</x:t>
        </x:is>
      </x:c>
      <x:c r="H6" s="2" t="inlineStr">
        <x:is>
          <x:t xml:space="preserve">No</x:t>
        </x:is>
      </x:c>
      <x:c r="I6" s="2" t="inlineStr">
        <x:is>
          <x:t xml:space="preserve">Yes</x:t>
        </x:is>
      </x:c>
      <x:c r="J6" s="2" t="inlineStr">
        <x:is>
          <x:t xml:space="preserve">Assembly guide section 1.1.1</x:t>
        </x:is>
      </x:c>
      <x:c r="K6" s="2" t="inlineStr">
        <x:is>
          <x:t xml:space="preserve">CinoGear bearing part</x:t>
        </x:is>
      </x:c>
      <x:c r="L6" s="2" t="inlineStr">
        <x:is>
          <x:t xml:space="preserve">No</x:t>
        </x:is>
      </x:c>
      <x:c r="M6" s="5" t="inlineStr">
        <x:is>
          <x:t xml:space="preserve"/>
        </x:is>
      </x:c>
      <x:c r="N6" s="2" t="inlineStr">
        <x:is>
          <x:t xml:space="preserve">USD</x:t>
        </x:is>
      </x:c>
      <x:c r="O6" s="6">
        <x:f>IF(AND(M6&lt;&gt;"",E6&lt;&gt;""),M6*E6,"")</x:f>
      </x:c>
      <x:c r="P6" s="2" t="inlineStr">
        <x:is>
          <x:t xml:space="preserve"/>
        </x:is>
      </x:c>
      <x:c r="Q6" s="2" t="inlineStr">
        <x:is>
          <x:t xml:space="preserve">One per coxa idler.</x:t>
        </x:is>
      </x:c>
    </x:row>
    <x:row r="7">
      <x:c r="A7" s="2" t="n">
        <x:v>6</x:v>
      </x:c>
      <x:c r="B7" s="3" t="inlineStr">
        <x:is>
          <x:t xml:space="preserve">3D Printed</x:t>
        </x:is>
      </x:c>
      <x:c r="C7" s="2" t="inlineStr">
        <x:is>
          <x:t xml:space="preserve">BearingTop-2_5mm.stl</x:t>
        </x:is>
      </x:c>
      <x:c r="D7" s="2" t="inlineStr">
        <x:is>
          <x:t xml:space="preserve">Coxa bearing cap</x:t>
        </x:is>
      </x:c>
      <x:c r="E7" s="4" t="n">
        <x:v>6</x:v>
      </x:c>
      <x:c r="F7" s="2" t="inlineStr">
        <x:is>
          <x:t xml:space="preserve">pc</x:t>
        </x:is>
      </x:c>
      <x:c r="G7" s="2" t="inlineStr">
        <x:is>
          <x:t xml:space="preserve">Leg structure</x:t>
        </x:is>
      </x:c>
      <x:c r="H7" s="2" t="inlineStr">
        <x:is>
          <x:t xml:space="preserve">No</x:t>
        </x:is>
      </x:c>
      <x:c r="I7" s="2" t="inlineStr">
        <x:is>
          <x:t xml:space="preserve">Yes</x:t>
        </x:is>
      </x:c>
      <x:c r="J7" s="2" t="inlineStr">
        <x:is>
          <x:t xml:space="preserve">Assembly guide section 1.1.1</x:t>
        </x:is>
      </x:c>
      <x:c r="K7" s="2" t="inlineStr">
        <x:is>
          <x:t xml:space="preserve">CinoGear bearing part</x:t>
        </x:is>
      </x:c>
      <x:c r="L7" s="2" t="inlineStr">
        <x:is>
          <x:t xml:space="preserve">No</x:t>
        </x:is>
      </x:c>
      <x:c r="M7" s="5" t="inlineStr">
        <x:is>
          <x:t xml:space="preserve"/>
        </x:is>
      </x:c>
      <x:c r="N7" s="2" t="inlineStr">
        <x:is>
          <x:t xml:space="preserve">USD</x:t>
        </x:is>
      </x:c>
      <x:c r="O7" s="6">
        <x:f>IF(AND(M7&lt;&gt;"",E7&lt;&gt;""),M7*E7,"")</x:f>
      </x:c>
      <x:c r="P7" s="2" t="inlineStr">
        <x:is>
          <x:t xml:space="preserve"/>
        </x:is>
      </x:c>
      <x:c r="Q7" s="2" t="inlineStr">
        <x:is>
          <x:t xml:space="preserve">Used on coxa idlers only.</x:t>
        </x:is>
      </x:c>
    </x:row>
    <x:row r="8">
      <x:c r="A8" s="2" t="n">
        <x:v>7</x:v>
      </x:c>
      <x:c r="B8" s="3" t="inlineStr">
        <x:is>
          <x:t xml:space="preserve">3D Printed</x:t>
        </x:is>
      </x:c>
      <x:c r="C8" s="2" t="inlineStr">
        <x:is>
          <x:t xml:space="preserve">FemurBearingSide.stl</x:t>
        </x:is>
      </x:c>
      <x:c r="D8" s="2" t="inlineStr">
        <x:is>
          <x:t xml:space="preserve">Femur idler side</x:t>
        </x:is>
      </x:c>
      <x:c r="E8" s="4" t="n">
        <x:v>6</x:v>
      </x:c>
      <x:c r="F8" s="2" t="inlineStr">
        <x:is>
          <x:t xml:space="preserve">pc</x:t>
        </x:is>
      </x:c>
      <x:c r="G8" s="2" t="inlineStr">
        <x:is>
          <x:t xml:space="preserve">Leg structure</x:t>
        </x:is>
      </x:c>
      <x:c r="H8" s="2" t="inlineStr">
        <x:is>
          <x:t xml:space="preserve">No</x:t>
        </x:is>
      </x:c>
      <x:c r="I8" s="2" t="inlineStr">
        <x:is>
          <x:t xml:space="preserve">Yes</x:t>
        </x:is>
      </x:c>
      <x:c r="J8" s="2" t="inlineStr">
        <x:is>
          <x:t xml:space="preserve">Assembly guide section 1.1.2</x:t>
        </x:is>
      </x:c>
      <x:c r="K8" s="2" t="inlineStr">
        <x:is>
          <x:t xml:space="preserve">CinoGear leg part</x:t>
        </x:is>
      </x:c>
      <x:c r="L8" s="2" t="inlineStr">
        <x:is>
          <x:t xml:space="preserve">No</x:t>
        </x:is>
      </x:c>
      <x:c r="M8" s="5" t="inlineStr">
        <x:is>
          <x:t xml:space="preserve"/>
        </x:is>
      </x:c>
      <x:c r="N8" s="2" t="inlineStr">
        <x:is>
          <x:t xml:space="preserve">USD</x:t>
        </x:is>
      </x:c>
      <x:c r="O8" s="6">
        <x:f>IF(AND(M8&lt;&gt;"",E8&lt;&gt;""),M8*E8,"")</x:f>
      </x:c>
      <x:c r="P8" s="2" t="inlineStr">
        <x:is>
          <x:t xml:space="preserve"/>
        </x:is>
      </x:c>
      <x:c r="Q8" s="2" t="inlineStr">
        <x:is>
          <x:t xml:space="preserve">One per leg.</x:t>
        </x:is>
      </x:c>
    </x:row>
    <x:row r="9">
      <x:c r="A9" s="2" t="n">
        <x:v>8</x:v>
      </x:c>
      <x:c r="B9" s="3" t="inlineStr">
        <x:is>
          <x:t xml:space="preserve">3D Printed</x:t>
        </x:is>
      </x:c>
      <x:c r="C9" s="2" t="inlineStr">
        <x:is>
          <x:t xml:space="preserve">BearingTop-3_5mm.stl</x:t>
        </x:is>
      </x:c>
      <x:c r="D9" s="2" t="inlineStr">
        <x:is>
          <x:t xml:space="preserve">Femur idler bearing cap</x:t>
        </x:is>
      </x:c>
      <x:c r="E9" s="4" t="n">
        <x:v>12</x:v>
      </x:c>
      <x:c r="F9" s="2" t="inlineStr">
        <x:is>
          <x:t xml:space="preserve">pc</x:t>
        </x:is>
      </x:c>
      <x:c r="G9" s="2" t="inlineStr">
        <x:is>
          <x:t xml:space="preserve">Leg structure</x:t>
        </x:is>
      </x:c>
      <x:c r="H9" s="2" t="inlineStr">
        <x:is>
          <x:t xml:space="preserve">No</x:t>
        </x:is>
      </x:c>
      <x:c r="I9" s="2" t="inlineStr">
        <x:is>
          <x:t xml:space="preserve">Yes</x:t>
        </x:is>
      </x:c>
      <x:c r="J9" s="2" t="inlineStr">
        <x:is>
          <x:t xml:space="preserve">Assembly guide section 1.1.2</x:t>
        </x:is>
      </x:c>
      <x:c r="K9" s="2" t="inlineStr">
        <x:is>
          <x:t xml:space="preserve">CinoGear bearing part</x:t>
        </x:is>
      </x:c>
      <x:c r="L9" s="2" t="inlineStr">
        <x:is>
          <x:t xml:space="preserve">No</x:t>
        </x:is>
      </x:c>
      <x:c r="M9" s="5" t="inlineStr">
        <x:is>
          <x:t xml:space="preserve"/>
        </x:is>
      </x:c>
      <x:c r="N9" s="2" t="inlineStr">
        <x:is>
          <x:t xml:space="preserve">USD</x:t>
        </x:is>
      </x:c>
      <x:c r="O9" s="6">
        <x:f>IF(AND(M9&lt;&gt;"",E9&lt;&gt;""),M9*E9,"")</x:f>
      </x:c>
      <x:c r="P9" s="2" t="inlineStr">
        <x:is>
          <x:t xml:space="preserve"/>
        </x:is>
      </x:c>
      <x:c r="Q9" s="2" t="inlineStr">
        <x:is>
          <x:t xml:space="preserve">Two per leg.</x:t>
        </x:is>
      </x:c>
    </x:row>
    <x:row r="10">
      <x:c r="A10" s="2" t="n">
        <x:v>9</x:v>
      </x:c>
      <x:c r="B10" s="3" t="inlineStr">
        <x:is>
          <x:t xml:space="preserve">3D Printed</x:t>
        </x:is>
      </x:c>
      <x:c r="C10" s="2" t="inlineStr">
        <x:is>
          <x:t xml:space="preserve">TibiaBearing.stl</x:t>
        </x:is>
      </x:c>
      <x:c r="D10" s="2" t="inlineStr">
        <x:is>
          <x:t xml:space="preserve">Default build</x:t>
        </x:is>
      </x:c>
      <x:c r="E10" s="4" t="n">
        <x:v>12</x:v>
      </x:c>
      <x:c r="F10" s="2" t="inlineStr">
        <x:is>
          <x:t xml:space="preserve">pc</x:t>
        </x:is>
      </x:c>
      <x:c r="G10" s="2" t="inlineStr">
        <x:is>
          <x:t xml:space="preserve">Leg structure</x:t>
        </x:is>
      </x:c>
      <x:c r="H10" s="2" t="inlineStr">
        <x:is>
          <x:t xml:space="preserve">No</x:t>
        </x:is>
      </x:c>
      <x:c r="I10" s="2" t="inlineStr">
        <x:is>
          <x:t xml:space="preserve">Yes</x:t>
        </x:is>
      </x:c>
      <x:c r="J10" s="2" t="inlineStr">
        <x:is>
          <x:t xml:space="preserve">Assembly guide section 1.1.2</x:t>
        </x:is>
      </x:c>
      <x:c r="K10" s="2" t="inlineStr">
        <x:is>
          <x:t xml:space="preserve">CinoGear leg part</x:t>
        </x:is>
      </x:c>
      <x:c r="L10" s="2" t="inlineStr">
        <x:is>
          <x:t xml:space="preserve">No</x:t>
        </x:is>
      </x:c>
      <x:c r="M10" s="5" t="inlineStr">
        <x:is>
          <x:t xml:space="preserve"/>
        </x:is>
      </x:c>
      <x:c r="N10" s="2" t="inlineStr">
        <x:is>
          <x:t xml:space="preserve">USD</x:t>
        </x:is>
      </x:c>
      <x:c r="O10" s="6">
        <x:f>IF(AND(M10&lt;&gt;"",E10&lt;&gt;""),M10*E10,"")</x:f>
      </x:c>
      <x:c r="P10" s="2" t="inlineStr">
        <x:is>
          <x:t xml:space="preserve"/>
        </x:is>
      </x:c>
      <x:c r="Q10" s="2" t="inlineStr">
        <x:is>
          <x:t xml:space="preserve">For mirrored build, replace 6 pcs with TibiaBearing_Mirror.stl.</x:t>
        </x:is>
      </x:c>
    </x:row>
    <x:row r="11">
      <x:c r="A11" s="2" t="n">
        <x:v>10</x:v>
      </x:c>
      <x:c r="B11" s="3" t="inlineStr">
        <x:is>
          <x:t xml:space="preserve">3D Printed</x:t>
        </x:is>
      </x:c>
      <x:c r="C11" s="2" t="inlineStr">
        <x:is>
          <x:t xml:space="preserve">FemurHornSide.stl</x:t>
        </x:is>
      </x:c>
      <x:c r="D11" s="2" t="inlineStr">
        <x:is>
          <x:t xml:space="preserve">Servo-side femur link</x:t>
        </x:is>
      </x:c>
      <x:c r="E11" s="4" t="n">
        <x:v>6</x:v>
      </x:c>
      <x:c r="F11" s="2" t="inlineStr">
        <x:is>
          <x:t xml:space="preserve">pc</x:t>
        </x:is>
      </x:c>
      <x:c r="G11" s="2" t="inlineStr">
        <x:is>
          <x:t xml:space="preserve">Leg structure</x:t>
        </x:is>
      </x:c>
      <x:c r="H11" s="2" t="inlineStr">
        <x:is>
          <x:t xml:space="preserve">No</x:t>
        </x:is>
      </x:c>
      <x:c r="I11" s="2" t="inlineStr">
        <x:is>
          <x:t xml:space="preserve">Yes</x:t>
        </x:is>
      </x:c>
      <x:c r="J11" s="2" t="inlineStr">
        <x:is>
          <x:t xml:space="preserve">Assembly guide section 1.1.3</x:t>
        </x:is>
      </x:c>
      <x:c r="K11" s="2" t="inlineStr">
        <x:is>
          <x:t xml:space="preserve">CinoGear leg part</x:t>
        </x:is>
      </x:c>
      <x:c r="L11" s="2" t="inlineStr">
        <x:is>
          <x:t xml:space="preserve">No</x:t>
        </x:is>
      </x:c>
      <x:c r="M11" s="5" t="inlineStr">
        <x:is>
          <x:t xml:space="preserve"/>
        </x:is>
      </x:c>
      <x:c r="N11" s="2" t="inlineStr">
        <x:is>
          <x:t xml:space="preserve">USD</x:t>
        </x:is>
      </x:c>
      <x:c r="O11" s="6">
        <x:f>IF(AND(M11&lt;&gt;"",E11&lt;&gt;""),M11*E11,"")</x:f>
      </x:c>
      <x:c r="P11" s="2" t="inlineStr">
        <x:is>
          <x:t xml:space="preserve"/>
        </x:is>
      </x:c>
      <x:c r="Q11" s="2" t="inlineStr">
        <x:is>
          <x:t xml:space="preserve">Attach to centered servo horns.</x:t>
        </x:is>
      </x:c>
    </x:row>
    <x:row r="12">
      <x:c r="A12" s="2" t="n">
        <x:v>11</x:v>
      </x:c>
      <x:c r="B12" s="3" t="inlineStr">
        <x:is>
          <x:t xml:space="preserve">3D Printed</x:t>
        </x:is>
      </x:c>
      <x:c r="C12" s="2" t="inlineStr">
        <x:is>
          <x:t xml:space="preserve">Tibia.stl</x:t>
        </x:is>
      </x:c>
      <x:c r="D12" s="2" t="inlineStr">
        <x:is>
          <x:t xml:space="preserve">Default build</x:t>
        </x:is>
      </x:c>
      <x:c r="E12" s="4" t="n">
        <x:v>6</x:v>
      </x:c>
      <x:c r="F12" s="2" t="inlineStr">
        <x:is>
          <x:t xml:space="preserve">pc</x:t>
        </x:is>
      </x:c>
      <x:c r="G12" s="2" t="inlineStr">
        <x:is>
          <x:t xml:space="preserve">Leg structure</x:t>
        </x:is>
      </x:c>
      <x:c r="H12" s="2" t="inlineStr">
        <x:is>
          <x:t xml:space="preserve">No</x:t>
        </x:is>
      </x:c>
      <x:c r="I12" s="2" t="inlineStr">
        <x:is>
          <x:t xml:space="preserve">Yes</x:t>
        </x:is>
      </x:c>
      <x:c r="J12" s="2" t="inlineStr">
        <x:is>
          <x:t xml:space="preserve">Assembly guide section 1.2.1</x:t>
        </x:is>
      </x:c>
      <x:c r="K12" s="2" t="inlineStr">
        <x:is>
          <x:t xml:space="preserve">CinoGear leg part</x:t>
        </x:is>
      </x:c>
      <x:c r="L12" s="2" t="inlineStr">
        <x:is>
          <x:t xml:space="preserve">No</x:t>
        </x:is>
      </x:c>
      <x:c r="M12" s="5" t="inlineStr">
        <x:is>
          <x:t xml:space="preserve"/>
        </x:is>
      </x:c>
      <x:c r="N12" s="2" t="inlineStr">
        <x:is>
          <x:t xml:space="preserve">USD</x:t>
        </x:is>
      </x:c>
      <x:c r="O12" s="6">
        <x:f>IF(AND(M12&lt;&gt;"",E12&lt;&gt;""),M12*E12,"")</x:f>
      </x:c>
      <x:c r="P12" s="2" t="inlineStr">
        <x:is>
          <x:t xml:space="preserve"/>
        </x:is>
      </x:c>
      <x:c r="Q12" s="2" t="inlineStr">
        <x:is>
          <x:t xml:space="preserve">For mirrored build, replace 3 pcs with Tibia_Mirror.stl.</x:t>
        </x:is>
      </x:c>
    </x:row>
    <x:row r="13">
      <x:c r="A13" s="2" t="n">
        <x:v>12</x:v>
      </x:c>
      <x:c r="B13" s="3" t="inlineStr">
        <x:is>
          <x:t xml:space="preserve">3D Printed</x:t>
        </x:is>
      </x:c>
      <x:c r="C13" s="2" t="inlineStr">
        <x:is>
          <x:t xml:space="preserve">CoxaServoMount.stl</x:t>
        </x:is>
      </x:c>
      <x:c r="D13" s="2" t="inlineStr">
        <x:is>
          <x:t xml:space="preserve">Coxa servo bracket</x:t>
        </x:is>
      </x:c>
      <x:c r="E13" s="4" t="n">
        <x:v>6</x:v>
      </x:c>
      <x:c r="F13" s="2" t="inlineStr">
        <x:is>
          <x:t xml:space="preserve">pc</x:t>
        </x:is>
      </x:c>
      <x:c r="G13" s="2" t="inlineStr">
        <x:is>
          <x:t xml:space="preserve">Leg structure</x:t>
        </x:is>
      </x:c>
      <x:c r="H13" s="2" t="inlineStr">
        <x:is>
          <x:t xml:space="preserve">No</x:t>
        </x:is>
      </x:c>
      <x:c r="I13" s="2" t="inlineStr">
        <x:is>
          <x:t xml:space="preserve">Yes</x:t>
        </x:is>
      </x:c>
      <x:c r="J13" s="2" t="inlineStr">
        <x:is>
          <x:t xml:space="preserve">Assembly guide section 1.1.4</x:t>
        </x:is>
      </x:c>
      <x:c r="K13" s="2" t="inlineStr">
        <x:is>
          <x:t xml:space="preserve">CinoGear mount</x:t>
        </x:is>
      </x:c>
      <x:c r="L13" s="2" t="inlineStr">
        <x:is>
          <x:t xml:space="preserve">No</x:t>
        </x:is>
      </x:c>
      <x:c r="M13" s="5" t="inlineStr">
        <x:is>
          <x:t xml:space="preserve"/>
        </x:is>
      </x:c>
      <x:c r="N13" s="2" t="inlineStr">
        <x:is>
          <x:t xml:space="preserve">USD</x:t>
        </x:is>
      </x:c>
      <x:c r="O13" s="6">
        <x:f>IF(AND(M13&lt;&gt;"",E13&lt;&gt;""),M13*E13,"")</x:f>
      </x:c>
      <x:c r="P13" s="2" t="inlineStr">
        <x:is>
          <x:t xml:space="preserve"/>
        </x:is>
      </x:c>
      <x:c r="Q13" s="2" t="inlineStr">
        <x:is>
          <x:t xml:space="preserve">One per coxa servo.</x:t>
        </x:is>
      </x:c>
    </x:row>
    <x:row r="14">
      <x:c r="A14" s="7" t="n">
        <x:v>13</x:v>
      </x:c>
      <x:c r="B14" s="3" t="inlineStr">
        <x:is>
          <x:t xml:space="preserve">Electronics</x:t>
        </x:is>
      </x:c>
      <x:c r="C14" s="7" t="inlineStr">
        <x:is>
          <x:t xml:space="preserve">RC servo</x:t>
        </x:is>
      </x:c>
      <x:c r="D14" s="7" t="inlineStr">
        <x:is>
          <x:t xml:space="preserve">HS-485 class servo</x:t>
        </x:is>
      </x:c>
      <x:c r="E14" s="8" t="n">
        <x:v>18</x:v>
      </x:c>
      <x:c r="F14" s="7" t="inlineStr">
        <x:is>
          <x:t xml:space="preserve">pc</x:t>
        </x:is>
      </x:c>
      <x:c r="G14" s="7" t="inlineStr">
        <x:is>
          <x:t xml:space="preserve">Actuation</x:t>
        </x:is>
      </x:c>
      <x:c r="H14" s="7" t="inlineStr">
        <x:is>
          <x:t xml:space="preserve">No</x:t>
        </x:is>
      </x:c>
      <x:c r="I14" s="7" t="inlineStr">
        <x:is>
          <x:t xml:space="preserve">Yes</x:t>
        </x:is>
      </x:c>
      <x:c r="J14" s="7" t="inlineStr">
        <x:is>
          <x:t xml:space="preserve">Assembly guide sections 1.1.4 + 1.2.1</x:t>
        </x:is>
      </x:c>
      <x:c r="K14" s="7" t="inlineStr">
        <x:is>
          <x:t xml:space="preserve">Hitec HS-485 class / equivalent</x:t>
        </x:is>
      </x:c>
      <x:c r="L14" s="7" t="inlineStr">
        <x:is>
          <x:t xml:space="preserve">Yes</x:t>
        </x:is>
      </x:c>
      <x:c r="M14" s="9" t="inlineStr">
        <x:is>
          <x:t xml:space="preserve"/>
        </x:is>
      </x:c>
      <x:c r="N14" s="7" t="inlineStr">
        <x:is>
          <x:t xml:space="preserve">USD</x:t>
        </x:is>
      </x:c>
      <x:c r="O14" s="10">
        <x:f>IF(AND(M14&lt;&gt;"",E14&lt;&gt;""),M14*E14,"")</x:f>
      </x:c>
      <x:c r="P14" s="7" t="inlineStr">
        <x:is>
          <x:t xml:space="preserve"/>
        </x:is>
      </x:c>
      <x:c r="Q14" s="7" t="inlineStr">
        <x:is>
          <x:t xml:space="preserve">Guide says HS-485. Confirm exact sub-model before selling kit.</x:t>
        </x:is>
      </x:c>
    </x:row>
    <x:row r="15">
      <x:c r="A15" s="7" t="n">
        <x:v>14</x:v>
      </x:c>
      <x:c r="B15" s="3" t="inlineStr">
        <x:is>
          <x:t xml:space="preserve">Electronics</x:t>
        </x:is>
      </x:c>
      <x:c r="C15" s="7" t="inlineStr">
        <x:is>
          <x:t xml:space="preserve">Servo horns</x:t>
        </x:is>
      </x:c>
      <x:c r="D15" s="7" t="inlineStr">
        <x:is>
          <x:t xml:space="preserve">Standard matching horn set</x:t>
        </x:is>
      </x:c>
      <x:c r="E15" s="8" t="n">
        <x:v>18</x:v>
      </x:c>
      <x:c r="F15" s="7" t="inlineStr">
        <x:is>
          <x:t xml:space="preserve">pc</x:t>
        </x:is>
      </x:c>
      <x:c r="G15" s="7" t="inlineStr">
        <x:is>
          <x:t xml:space="preserve">Actuation</x:t>
        </x:is>
      </x:c>
      <x:c r="H15" s="7" t="inlineStr">
        <x:is>
          <x:t xml:space="preserve">No</x:t>
        </x:is>
      </x:c>
      <x:c r="I15" s="7" t="inlineStr">
        <x:is>
          <x:t xml:space="preserve">Yes</x:t>
        </x:is>
      </x:c>
      <x:c r="J15" s="7" t="inlineStr">
        <x:is>
          <x:t xml:space="preserve">Assembly guide section 1.1.3</x:t>
        </x:is>
      </x:c>
      <x:c r="K15" s="7" t="inlineStr">
        <x:is>
          <x:t xml:space="preserve">Servo-compatible</x:t>
        </x:is>
      </x:c>
      <x:c r="L15" s="7" t="inlineStr">
        <x:is>
          <x:t xml:space="preserve">Yes</x:t>
        </x:is>
      </x:c>
      <x:c r="M15" s="9" t="inlineStr">
        <x:is>
          <x:t xml:space="preserve"/>
        </x:is>
      </x:c>
      <x:c r="N15" s="7" t="inlineStr">
        <x:is>
          <x:t xml:space="preserve">USD</x:t>
        </x:is>
      </x:c>
      <x:c r="O15" s="10">
        <x:f>IF(AND(M15&lt;&gt;"",E15&lt;&gt;""),M15*E15,"")</x:f>
      </x:c>
      <x:c r="P15" s="7" t="inlineStr">
        <x:is>
          <x:t xml:space="preserve"/>
        </x:is>
      </x:c>
      <x:c r="Q15" s="7" t="inlineStr">
        <x:is>
          <x:t xml:space="preserve">Ensure horn matches servo spline.</x:t>
        </x:is>
      </x:c>
    </x:row>
    <x:row r="16">
      <x:c r="A16" s="2" t="n">
        <x:v>15</x:v>
      </x:c>
      <x:c r="B16" s="3" t="inlineStr">
        <x:is>
          <x:t xml:space="preserve">Electronics</x:t>
        </x:is>
      </x:c>
      <x:c r="C16" s="2" t="inlineStr">
        <x:is>
          <x:t xml:space="preserve">Servo controller</x:t>
        </x:is>
      </x:c>
      <x:c r="D16" s="2" t="inlineStr">
        <x:is>
          <x:t xml:space="preserve">SSC-32 / SSC-32U compatible</x:t>
        </x:is>
      </x:c>
      <x:c r="E16" s="4" t="n">
        <x:v>1</x:v>
      </x:c>
      <x:c r="F16" s="2" t="inlineStr">
        <x:is>
          <x:t xml:space="preserve">pc</x:t>
        </x:is>
      </x:c>
      <x:c r="G16" s="2" t="inlineStr">
        <x:is>
          <x:t xml:space="preserve">Control electronics</x:t>
        </x:is>
      </x:c>
      <x:c r="H16" s="2" t="inlineStr">
        <x:is>
          <x:t xml:space="preserve">No</x:t>
        </x:is>
      </x:c>
      <x:c r="I16" s="2" t="inlineStr">
        <x:is>
          <x:t xml:space="preserve">Yes</x:t>
        </x:is>
      </x:c>
      <x:c r="J16" s="2" t="inlineStr">
        <x:is>
          <x:t xml:space="preserve">Uploaded guide + source config</x:t>
        </x:is>
      </x:c>
      <x:c r="K16" s="2" t="inlineStr">
        <x:is>
          <x:t xml:space="preserve">Lynxmotion-compatible reference</x:t>
        </x:is>
      </x:c>
      <x:c r="L16" s="2" t="inlineStr">
        <x:is>
          <x:t xml:space="preserve">No</x:t>
        </x:is>
      </x:c>
      <x:c r="M16" s="5" t="inlineStr">
        <x:is>
          <x:t xml:space="preserve"/>
        </x:is>
      </x:c>
      <x:c r="N16" s="2" t="inlineStr">
        <x:is>
          <x:t xml:space="preserve">USD</x:t>
        </x:is>
      </x:c>
      <x:c r="O16" s="6">
        <x:f>IF(AND(M16&lt;&gt;"",E16&lt;&gt;""),M16*E16,"")</x:f>
      </x:c>
      <x:c r="P16" s="2" t="inlineStr">
        <x:is>
          <x:t xml:space="preserve">https://www.lynxmotion.com/ses-v1-modular-robot-system/</x:t>
        </x:is>
      </x:c>
      <x:c r="Q16" s="2" t="inlineStr">
        <x:is>
          <x:t xml:space="preserve">Use nominative compatibility wording only.</x:t>
        </x:is>
      </x:c>
    </x:row>
    <x:row r="17">
      <x:c r="A17" s="2" t="n">
        <x:v>16</x:v>
      </x:c>
      <x:c r="B17" s="3" t="inlineStr">
        <x:is>
          <x:t xml:space="preserve">Electronics</x:t>
        </x:is>
      </x:c>
      <x:c r="C17" s="2" t="inlineStr">
        <x:is>
          <x:t xml:space="preserve">Microcontroller board</x:t>
        </x:is>
      </x:c>
      <x:c r="D17" s="2" t="inlineStr">
        <x:is>
          <x:t xml:space="preserve">BotBoarduino-compatible</x:t>
        </x:is>
      </x:c>
      <x:c r="E17" s="4" t="n">
        <x:v>1</x:v>
      </x:c>
      <x:c r="F17" s="2" t="inlineStr">
        <x:is>
          <x:t xml:space="preserve">pc</x:t>
        </x:is>
      </x:c>
      <x:c r="G17" s="2" t="inlineStr">
        <x:is>
          <x:t xml:space="preserve">Control electronics</x:t>
        </x:is>
      </x:c>
      <x:c r="H17" s="2" t="inlineStr">
        <x:is>
          <x:t xml:space="preserve">No</x:t>
        </x:is>
      </x:c>
      <x:c r="I17" s="2" t="inlineStr">
        <x:is>
          <x:t xml:space="preserve">Yes</x:t>
        </x:is>
      </x:c>
      <x:c r="J17" s="2" t="inlineStr">
        <x:is>
          <x:t xml:space="preserve">Uploaded source config</x:t>
        </x:is>
      </x:c>
      <x:c r="K17" s="2" t="inlineStr">
        <x:is>
          <x:t xml:space="preserve">BotBoarduino-compatible reference</x:t>
        </x:is>
      </x:c>
      <x:c r="L17" s="2" t="inlineStr">
        <x:is>
          <x:t xml:space="preserve">No</x:t>
        </x:is>
      </x:c>
      <x:c r="M17" s="5" t="inlineStr">
        <x:is>
          <x:t xml:space="preserve"/>
        </x:is>
      </x:c>
      <x:c r="N17" s="2" t="inlineStr">
        <x:is>
          <x:t xml:space="preserve">USD</x:t>
        </x:is>
      </x:c>
      <x:c r="O17" s="6">
        <x:f>IF(AND(M17&lt;&gt;"",E17&lt;&gt;""),M17*E17,"")</x:f>
      </x:c>
      <x:c r="P17" s="2" t="inlineStr">
        <x:is>
          <x:t xml:space="preserve">https://www.lynxmotion.com/ses-v1-modular-robot-system/</x:t>
        </x:is>
      </x:c>
      <x:c r="Q17" s="2" t="inlineStr">
        <x:is>
          <x:t xml:space="preserve">Main Arduino-compatible controller assumed by sketch.</x:t>
        </x:is>
      </x:c>
    </x:row>
    <x:row r="18">
      <x:c r="A18" s="7" t="n">
        <x:v>17</x:v>
      </x:c>
      <x:c r="B18" s="3" t="inlineStr">
        <x:is>
          <x:t xml:space="preserve">Electronics</x:t>
        </x:is>
      </x:c>
      <x:c r="C18" s="7" t="inlineStr">
        <x:is>
          <x:t xml:space="preserve">PS2 wireless controller + receiver</x:t>
        </x:is>
      </x:c>
      <x:c r="D18" s="7" t="inlineStr">
        <x:is>
          <x:t xml:space="preserve">PS2X workflow</x:t>
        </x:is>
      </x:c>
      <x:c r="E18" s="8" t="n">
        <x:v>1</x:v>
      </x:c>
      <x:c r="F18" s="7" t="inlineStr">
        <x:is>
          <x:t xml:space="preserve">set</x:t>
        </x:is>
      </x:c>
      <x:c r="G18" s="7" t="inlineStr">
        <x:is>
          <x:t xml:space="preserve">Remote control</x:t>
        </x:is>
      </x:c>
      <x:c r="H18" s="7" t="inlineStr">
        <x:is>
          <x:t xml:space="preserve">No</x:t>
        </x:is>
      </x:c>
      <x:c r="I18" s="7" t="inlineStr">
        <x:is>
          <x:t xml:space="preserve">Yes</x:t>
        </x:is>
      </x:c>
      <x:c r="J18" s="7" t="inlineStr">
        <x:is>
          <x:t xml:space="preserve">Uploaded source config + library</x:t>
        </x:is>
      </x:c>
      <x:c r="K18" s="7" t="inlineStr">
        <x:is>
          <x:t xml:space="preserve">PS2 / PS2X compatible reference</x:t>
        </x:is>
      </x:c>
      <x:c r="L18" s="7" t="inlineStr">
        <x:is>
          <x:t xml:space="preserve">Yes</x:t>
        </x:is>
      </x:c>
      <x:c r="M18" s="9" t="inlineStr">
        <x:is>
          <x:t xml:space="preserve"/>
        </x:is>
      </x:c>
      <x:c r="N18" s="7" t="inlineStr">
        <x:is>
          <x:t xml:space="preserve">USD</x:t>
        </x:is>
      </x:c>
      <x:c r="O18" s="10">
        <x:f>IF(AND(M18&lt;&gt;"",E18&lt;&gt;""),M18*E18,"")</x:f>
      </x:c>
      <x:c r="P18" s="7" t="inlineStr">
        <x:is>
          <x:t xml:space="preserve">https://www.billporter.info/2010/06/05/playstation-2-controller-arduino-library-v1-0/</x:t>
        </x:is>
      </x:c>
      <x:c r="Q18" s="7" t="inlineStr">
        <x:is>
          <x:t xml:space="preserve">Controller hardware varies; verify receiver wiring.</x:t>
        </x:is>
      </x:c>
    </x:row>
    <x:row r="19">
      <x:c r="A19" s="2" t="n">
        <x:v>18</x:v>
      </x:c>
      <x:c r="B19" s="3" t="inlineStr">
        <x:is>
          <x:t xml:space="preserve">Electronics</x:t>
        </x:is>
      </x:c>
      <x:c r="C19" s="2" t="inlineStr">
        <x:is>
          <x:t xml:space="preserve">FTDI USB-to-serial adapter</x:t>
        </x:is>
      </x:c>
      <x:c r="D19" s="2" t="inlineStr">
        <x:is>
          <x:t xml:space="preserve">Optional setup tool</x:t>
        </x:is>
      </x:c>
      <x:c r="E19" s="4" t="n">
        <x:v>1</x:v>
      </x:c>
      <x:c r="F19" s="2" t="inlineStr">
        <x:is>
          <x:t xml:space="preserve">pc</x:t>
        </x:is>
      </x:c>
      <x:c r="G19" s="2" t="inlineStr">
        <x:is>
          <x:t xml:space="preserve">Calibration / setup</x:t>
        </x:is>
      </x:c>
      <x:c r="H19" s="2" t="inlineStr">
        <x:is>
          <x:t xml:space="preserve">No</x:t>
        </x:is>
      </x:c>
      <x:c r="I19" s="2" t="inlineStr">
        <x:is>
          <x:t xml:space="preserve">Optional</x:t>
        </x:is>
      </x:c>
      <x:c r="J19" s="2" t="inlineStr">
        <x:is>
          <x:t xml:space="preserve">Assembly guide section 1.2.1.3</x:t>
        </x:is>
      </x:c>
      <x:c r="K19" s="2" t="inlineStr">
        <x:is>
          <x:t xml:space="preserve">Generic FTDI adapter</x:t>
        </x:is>
      </x:c>
      <x:c r="L19" s="2" t="inlineStr">
        <x:is>
          <x:t xml:space="preserve">No</x:t>
        </x:is>
      </x:c>
      <x:c r="M19" s="5" t="inlineStr">
        <x:is>
          <x:t xml:space="preserve"/>
        </x:is>
      </x:c>
      <x:c r="N19" s="2" t="inlineStr">
        <x:is>
          <x:t xml:space="preserve">USD</x:t>
        </x:is>
      </x:c>
      <x:c r="O19" s="6">
        <x:f>IF(AND(M19&lt;&gt;"",E19&lt;&gt;""),M19*E19,"")</x:f>
      </x:c>
      <x:c r="P19" s="2" t="inlineStr">
        <x:is>
          <x:t xml:space="preserve"/>
        </x:is>
      </x:c>
      <x:c r="Q19" s="2" t="inlineStr">
        <x:is>
          <x:t xml:space="preserve">Useful for sending 1500us center commands during build.</x:t>
        </x:is>
      </x:c>
    </x:row>
    <x:row r="20">
      <x:c r="A20" s="7" t="n">
        <x:v>19</x:v>
      </x:c>
      <x:c r="B20" s="3" t="inlineStr">
        <x:is>
          <x:t xml:space="preserve">Electronics</x:t>
        </x:is>
      </x:c>
      <x:c r="C20" s="7" t="inlineStr">
        <x:is>
          <x:t xml:space="preserve">Power system</x:t>
        </x:is>
      </x:c>
      <x:c r="D20" s="7" t="inlineStr">
        <x:is>
          <x:t xml:space="preserve">Battery + regulator/wiring</x:t>
        </x:is>
      </x:c>
      <x:c r="E20" s="8" t="n">
        <x:v>1</x:v>
      </x:c>
      <x:c r="F20" s="7" t="inlineStr">
        <x:is>
          <x:t xml:space="preserve">set</x:t>
        </x:is>
      </x:c>
      <x:c r="G20" s="7" t="inlineStr">
        <x:is>
          <x:t xml:space="preserve">Power</x:t>
        </x:is>
      </x:c>
      <x:c r="H20" s="7" t="inlineStr">
        <x:is>
          <x:t xml:space="preserve">No</x:t>
        </x:is>
      </x:c>
      <x:c r="I20" s="7" t="inlineStr">
        <x:is>
          <x:t xml:space="preserve">Yes</x:t>
        </x:is>
      </x:c>
      <x:c r="J20" s="7" t="inlineStr">
        <x:is>
          <x:t xml:space="preserve">Not explicitly specified in uploaded guide</x:t>
        </x:is>
      </x:c>
      <x:c r="K20" s="7" t="inlineStr">
        <x:is>
          <x:t xml:space="preserve">Project-specific</x:t>
        </x:is>
      </x:c>
      <x:c r="L20" s="7" t="inlineStr">
        <x:is>
          <x:t xml:space="preserve">Yes</x:t>
        </x:is>
      </x:c>
      <x:c r="M20" s="9" t="inlineStr">
        <x:is>
          <x:t xml:space="preserve"/>
        </x:is>
      </x:c>
      <x:c r="N20" s="7" t="inlineStr">
        <x:is>
          <x:t xml:space="preserve">USD</x:t>
        </x:is>
      </x:c>
      <x:c r="O20" s="10">
        <x:f>IF(AND(M20&lt;&gt;"",E20&lt;&gt;""),M20*E20,"")</x:f>
      </x:c>
      <x:c r="P20" s="7" t="inlineStr">
        <x:is>
          <x:t xml:space="preserve"/>
        </x:is>
      </x:c>
      <x:c r="Q20" s="7" t="inlineStr">
        <x:is>
          <x:t xml:space="preserve">Voltage/current spec must be finalized before sale.</x:t>
        </x:is>
      </x:c>
    </x:row>
    <x:row r="21">
      <x:c r="A21" s="2" t="n">
        <x:v>20</x:v>
      </x:c>
      <x:c r="B21" s="2" t="inlineStr">
        <x:is>
          <x:t xml:space="preserve">Hardware</x:t>
        </x:is>
      </x:c>
      <x:c r="C21" s="2" t="inlineStr">
        <x:is>
          <x:t xml:space="preserve">1/8" bearing balls</x:t>
        </x:is>
      </x:c>
      <x:c r="D21" s="2" t="inlineStr">
        <x:is>
          <x:t xml:space="preserve">Coxa idlers</x:t>
        </x:is>
      </x:c>
      <x:c r="E21" s="4" t="n">
        <x:v>78</x:v>
      </x:c>
      <x:c r="F21" s="2" t="inlineStr">
        <x:is>
          <x:t xml:space="preserve">pc</x:t>
        </x:is>
      </x:c>
      <x:c r="G21" s="2" t="inlineStr">
        <x:is>
          <x:t xml:space="preserve">Leg structure</x:t>
        </x:is>
      </x:c>
      <x:c r="H21" s="2" t="inlineStr">
        <x:is>
          <x:t xml:space="preserve">No</x:t>
        </x:is>
      </x:c>
      <x:c r="I21" s="2" t="inlineStr">
        <x:is>
          <x:t xml:space="preserve">Yes</x:t>
        </x:is>
      </x:c>
      <x:c r="J21" s="2" t="inlineStr">
        <x:is>
          <x:t xml:space="preserve">Assembly guide section 1.1.1</x:t>
        </x:is>
      </x:c>
      <x:c r="K21" s="2" t="inlineStr">
        <x:is>
          <x:t xml:space="preserve">Generic hardware</x:t>
        </x:is>
      </x:c>
      <x:c r="L21" s="2" t="inlineStr">
        <x:is>
          <x:t xml:space="preserve">No</x:t>
        </x:is>
      </x:c>
      <x:c r="M21" s="5" t="inlineStr">
        <x:is>
          <x:t xml:space="preserve"/>
        </x:is>
      </x:c>
      <x:c r="N21" s="2" t="inlineStr">
        <x:is>
          <x:t xml:space="preserve">USD</x:t>
        </x:is>
      </x:c>
      <x:c r="O21" s="6">
        <x:f>IF(AND(M21&lt;&gt;"",E21&lt;&gt;""),M21*E21,"")</x:f>
      </x:c>
      <x:c r="P21" s="2" t="inlineStr">
        <x:is>
          <x:t xml:space="preserve"/>
        </x:is>
      </x:c>
      <x:c r="Q21" s="2" t="inlineStr">
        <x:is>
          <x:t xml:space="preserve">13 per coxa idler x 6.</x:t>
        </x:is>
      </x:c>
    </x:row>
    <x:row r="22">
      <x:c r="A22" s="7" t="n">
        <x:v>21</x:v>
      </x:c>
      <x:c r="B22" s="7" t="inlineStr">
        <x:is>
          <x:t xml:space="preserve">Hardware</x:t>
        </x:is>
      </x:c>
      <x:c r="C22" s="7" t="inlineStr">
        <x:is>
          <x:t xml:space="preserve">1/8" bearing balls</x:t>
        </x:is>
      </x:c>
      <x:c r="D22" s="7" t="inlineStr">
        <x:is>
          <x:t xml:space="preserve">Femur idlers (verify)</x:t>
        </x:is>
      </x:c>
      <x:c r="E22" s="8" t="n">
        <x:v>156</x:v>
      </x:c>
      <x:c r="F22" s="7" t="inlineStr">
        <x:is>
          <x:t xml:space="preserve">pc</x:t>
        </x:is>
      </x:c>
      <x:c r="G22" s="7" t="inlineStr">
        <x:is>
          <x:t xml:space="preserve">Leg structure</x:t>
        </x:is>
      </x:c>
      <x:c r="H22" s="7" t="inlineStr">
        <x:is>
          <x:t xml:space="preserve">No</x:t>
        </x:is>
      </x:c>
      <x:c r="I22" s="7" t="inlineStr">
        <x:is>
          <x:t xml:space="preserve">Yes</x:t>
        </x:is>
      </x:c>
      <x:c r="J22" s="7" t="inlineStr">
        <x:is>
          <x:t xml:space="preserve">Assembly text implies same bearing process as coxa idlers</x:t>
        </x:is>
      </x:c>
      <x:c r="K22" s="7" t="inlineStr">
        <x:is>
          <x:t xml:space="preserve">Generic hardware</x:t>
        </x:is>
      </x:c>
      <x:c r="L22" s="7" t="inlineStr">
        <x:is>
          <x:t xml:space="preserve">Yes</x:t>
        </x:is>
      </x:c>
      <x:c r="M22" s="9" t="inlineStr">
        <x:is>
          <x:t xml:space="preserve"/>
        </x:is>
      </x:c>
      <x:c r="N22" s="7" t="inlineStr">
        <x:is>
          <x:t xml:space="preserve">USD</x:t>
        </x:is>
      </x:c>
      <x:c r="O22" s="10">
        <x:f>IF(AND(M22&lt;&gt;"",E22&lt;&gt;""),M22*E22,"")</x:f>
      </x:c>
      <x:c r="P22" s="7" t="inlineStr">
        <x:is>
          <x:t xml:space="preserve"/>
        </x:is>
      </x:c>
      <x:c r="Q22" s="7" t="inlineStr">
        <x:is>
          <x:t xml:space="preserve">Guide bullet list omits balls, but text suggests 2 bearing runs per leg.</x:t>
        </x:is>
      </x:c>
    </x:row>
    <x:row r="23">
      <x:c r="A23" s="2" t="n">
        <x:v>22</x:v>
      </x:c>
      <x:c r="B23" s="2" t="inlineStr">
        <x:is>
          <x:t xml:space="preserve">Hardware</x:t>
        </x:is>
      </x:c>
      <x:c r="C23" s="2" t="inlineStr">
        <x:is>
          <x:t xml:space="preserve">M2x10 bolts</x:t>
        </x:is>
      </x:c>
      <x:c r="D23" s="2" t="inlineStr">
        <x:is>
          <x:t xml:space="preserve">Coxa idlers</x:t>
        </x:is>
      </x:c>
      <x:c r="E23" s="4" t="n">
        <x:v>6</x:v>
      </x:c>
      <x:c r="F23" s="2" t="inlineStr">
        <x:is>
          <x:t xml:space="preserve">pc</x:t>
        </x:is>
      </x:c>
      <x:c r="G23" s="2" t="inlineStr">
        <x:is>
          <x:t xml:space="preserve">Leg structure</x:t>
        </x:is>
      </x:c>
      <x:c r="H23" s="2" t="inlineStr">
        <x:is>
          <x:t xml:space="preserve">No</x:t>
        </x:is>
      </x:c>
      <x:c r="I23" s="2" t="inlineStr">
        <x:is>
          <x:t xml:space="preserve">Yes</x:t>
        </x:is>
      </x:c>
      <x:c r="J23" s="2" t="inlineStr">
        <x:is>
          <x:t xml:space="preserve">Assembly guide section 1.1.1</x:t>
        </x:is>
      </x:c>
      <x:c r="K23" s="2" t="inlineStr">
        <x:is>
          <x:t xml:space="preserve">Generic hardware</x:t>
        </x:is>
      </x:c>
      <x:c r="L23" s="2" t="inlineStr">
        <x:is>
          <x:t xml:space="preserve">No</x:t>
        </x:is>
      </x:c>
      <x:c r="M23" s="5" t="inlineStr">
        <x:is>
          <x:t xml:space="preserve"/>
        </x:is>
      </x:c>
      <x:c r="N23" s="2" t="inlineStr">
        <x:is>
          <x:t xml:space="preserve">USD</x:t>
        </x:is>
      </x:c>
      <x:c r="O23" s="6">
        <x:f>IF(AND(M23&lt;&gt;"",E23&lt;&gt;""),M23*E23,"")</x:f>
      </x:c>
      <x:c r="P23" s="2" t="inlineStr">
        <x:is>
          <x:t xml:space="preserve"/>
        </x:is>
      </x:c>
      <x:c r="Q23" s="2" t="inlineStr">
        <x:is>
          <x:t xml:space="preserve">One per coxa idler.</x:t>
        </x:is>
      </x:c>
    </x:row>
    <x:row r="24">
      <x:c r="A24" s="2" t="n">
        <x:v>23</x:v>
      </x:c>
      <x:c r="B24" s="2" t="inlineStr">
        <x:is>
          <x:t xml:space="preserve">Hardware</x:t>
        </x:is>
      </x:c>
      <x:c r="C24" s="2" t="inlineStr">
        <x:is>
          <x:t xml:space="preserve">M2 nuts</x:t>
        </x:is>
      </x:c>
      <x:c r="D24" s="2" t="inlineStr">
        <x:is>
          <x:t xml:space="preserve">Coxa idlers</x:t>
        </x:is>
      </x:c>
      <x:c r="E24" s="4" t="n">
        <x:v>6</x:v>
      </x:c>
      <x:c r="F24" s="2" t="inlineStr">
        <x:is>
          <x:t xml:space="preserve">pc</x:t>
        </x:is>
      </x:c>
      <x:c r="G24" s="2" t="inlineStr">
        <x:is>
          <x:t xml:space="preserve">Leg structure</x:t>
        </x:is>
      </x:c>
      <x:c r="H24" s="2" t="inlineStr">
        <x:is>
          <x:t xml:space="preserve">No</x:t>
        </x:is>
      </x:c>
      <x:c r="I24" s="2" t="inlineStr">
        <x:is>
          <x:t xml:space="preserve">Yes</x:t>
        </x:is>
      </x:c>
      <x:c r="J24" s="2" t="inlineStr">
        <x:is>
          <x:t xml:space="preserve">Assembly guide section 1.1.1</x:t>
        </x:is>
      </x:c>
      <x:c r="K24" s="2" t="inlineStr">
        <x:is>
          <x:t xml:space="preserve">Generic hardware</x:t>
        </x:is>
      </x:c>
      <x:c r="L24" s="2" t="inlineStr">
        <x:is>
          <x:t xml:space="preserve">No</x:t>
        </x:is>
      </x:c>
      <x:c r="M24" s="5" t="inlineStr">
        <x:is>
          <x:t xml:space="preserve"/>
        </x:is>
      </x:c>
      <x:c r="N24" s="2" t="inlineStr">
        <x:is>
          <x:t xml:space="preserve">USD</x:t>
        </x:is>
      </x:c>
      <x:c r="O24" s="6">
        <x:f>IF(AND(M24&lt;&gt;"",E24&lt;&gt;""),M24*E24,"")</x:f>
      </x:c>
      <x:c r="P24" s="2" t="inlineStr">
        <x:is>
          <x:t xml:space="preserve"/>
        </x:is>
      </x:c>
      <x:c r="Q24" s="2" t="inlineStr">
        <x:is>
          <x:t xml:space="preserve">One per coxa idler.</x:t>
        </x:is>
      </x:c>
    </x:row>
    <x:row r="25">
      <x:c r="A25" s="2" t="n">
        <x:v>24</x:v>
      </x:c>
      <x:c r="B25" s="2" t="inlineStr">
        <x:is>
          <x:t xml:space="preserve">Hardware</x:t>
        </x:is>
      </x:c>
      <x:c r="C25" s="2" t="inlineStr">
        <x:is>
          <x:t xml:space="preserve">M2x10 bolts</x:t>
        </x:is>
      </x:c>
      <x:c r="D25" s="2" t="inlineStr">
        <x:is>
          <x:t xml:space="preserve">Femur idler bearings</x:t>
        </x:is>
      </x:c>
      <x:c r="E25" s="4" t="n">
        <x:v>12</x:v>
      </x:c>
      <x:c r="F25" s="2" t="inlineStr">
        <x:is>
          <x:t xml:space="preserve">pc</x:t>
        </x:is>
      </x:c>
      <x:c r="G25" s="2" t="inlineStr">
        <x:is>
          <x:t xml:space="preserve">Leg structure</x:t>
        </x:is>
      </x:c>
      <x:c r="H25" s="2" t="inlineStr">
        <x:is>
          <x:t xml:space="preserve">No</x:t>
        </x:is>
      </x:c>
      <x:c r="I25" s="2" t="inlineStr">
        <x:is>
          <x:t xml:space="preserve">Yes</x:t>
        </x:is>
      </x:c>
      <x:c r="J25" s="2" t="inlineStr">
        <x:is>
          <x:t xml:space="preserve">Assembly guide section 1.1.2</x:t>
        </x:is>
      </x:c>
      <x:c r="K25" s="2" t="inlineStr">
        <x:is>
          <x:t xml:space="preserve">Generic hardware</x:t>
        </x:is>
      </x:c>
      <x:c r="L25" s="2" t="inlineStr">
        <x:is>
          <x:t xml:space="preserve">No</x:t>
        </x:is>
      </x:c>
      <x:c r="M25" s="5" t="inlineStr">
        <x:is>
          <x:t xml:space="preserve"/>
        </x:is>
      </x:c>
      <x:c r="N25" s="2" t="inlineStr">
        <x:is>
          <x:t xml:space="preserve">USD</x:t>
        </x:is>
      </x:c>
      <x:c r="O25" s="6">
        <x:f>IF(AND(M25&lt;&gt;"",E25&lt;&gt;""),M25*E25,"")</x:f>
      </x:c>
      <x:c r="P25" s="2" t="inlineStr">
        <x:is>
          <x:t xml:space="preserve"/>
        </x:is>
      </x:c>
      <x:c r="Q25" s="2" t="inlineStr">
        <x:is>
          <x:t xml:space="preserve">Two per leg.</x:t>
        </x:is>
      </x:c>
    </x:row>
    <x:row r="26">
      <x:c r="A26" s="2" t="n">
        <x:v>25</x:v>
      </x:c>
      <x:c r="B26" s="2" t="inlineStr">
        <x:is>
          <x:t xml:space="preserve">Hardware</x:t>
        </x:is>
      </x:c>
      <x:c r="C26" s="2" t="inlineStr">
        <x:is>
          <x:t xml:space="preserve">M2 nuts</x:t>
        </x:is>
      </x:c>
      <x:c r="D26" s="2" t="inlineStr">
        <x:is>
          <x:t xml:space="preserve">Femur idler bearings</x:t>
        </x:is>
      </x:c>
      <x:c r="E26" s="4" t="n">
        <x:v>12</x:v>
      </x:c>
      <x:c r="F26" s="2" t="inlineStr">
        <x:is>
          <x:t xml:space="preserve">pc</x:t>
        </x:is>
      </x:c>
      <x:c r="G26" s="2" t="inlineStr">
        <x:is>
          <x:t xml:space="preserve">Leg structure</x:t>
        </x:is>
      </x:c>
      <x:c r="H26" s="2" t="inlineStr">
        <x:is>
          <x:t xml:space="preserve">No</x:t>
        </x:is>
      </x:c>
      <x:c r="I26" s="2" t="inlineStr">
        <x:is>
          <x:t xml:space="preserve">Yes</x:t>
        </x:is>
      </x:c>
      <x:c r="J26" s="2" t="inlineStr">
        <x:is>
          <x:t xml:space="preserve">Assembly guide section 1.1.2</x:t>
        </x:is>
      </x:c>
      <x:c r="K26" s="2" t="inlineStr">
        <x:is>
          <x:t xml:space="preserve">Generic hardware</x:t>
        </x:is>
      </x:c>
      <x:c r="L26" s="2" t="inlineStr">
        <x:is>
          <x:t xml:space="preserve">No</x:t>
        </x:is>
      </x:c>
      <x:c r="M26" s="5" t="inlineStr">
        <x:is>
          <x:t xml:space="preserve"/>
        </x:is>
      </x:c>
      <x:c r="N26" s="2" t="inlineStr">
        <x:is>
          <x:t xml:space="preserve">USD</x:t>
        </x:is>
      </x:c>
      <x:c r="O26" s="6">
        <x:f>IF(AND(M26&lt;&gt;"",E26&lt;&gt;""),M26*E26,"")</x:f>
      </x:c>
      <x:c r="P26" s="2" t="inlineStr">
        <x:is>
          <x:t xml:space="preserve"/>
        </x:is>
      </x:c>
      <x:c r="Q26" s="2" t="inlineStr">
        <x:is>
          <x:t xml:space="preserve">Two per leg.</x:t>
        </x:is>
      </x:c>
    </x:row>
    <x:row r="27">
      <x:c r="A27" s="7" t="n">
        <x:v>26</x:v>
      </x:c>
      <x:c r="B27" s="7" t="inlineStr">
        <x:is>
          <x:t xml:space="preserve">Hardware</x:t>
        </x:is>
      </x:c>
      <x:c r="C27" s="7" t="inlineStr">
        <x:is>
          <x:t xml:space="preserve">M2x6.5 bolts</x:t>
        </x:is>
      </x:c>
      <x:c r="D27" s="7" t="inlineStr">
        <x:is>
          <x:t xml:space="preserve">Servo horn mounting</x:t>
        </x:is>
      </x:c>
      <x:c r="E27" s="8" t="n">
        <x:v>36</x:v>
      </x:c>
      <x:c r="F27" s="7" t="inlineStr">
        <x:is>
          <x:t xml:space="preserve">pc</x:t>
        </x:is>
      </x:c>
      <x:c r="G27" s="7" t="inlineStr">
        <x:is>
          <x:t xml:space="preserve">Leg structure</x:t>
        </x:is>
      </x:c>
      <x:c r="H27" s="7" t="inlineStr">
        <x:is>
          <x:t xml:space="preserve">No</x:t>
        </x:is>
      </x:c>
      <x:c r="I27" s="7" t="inlineStr">
        <x:is>
          <x:t xml:space="preserve">Yes</x:t>
        </x:is>
      </x:c>
      <x:c r="J27" s="7" t="inlineStr">
        <x:is>
          <x:t xml:space="preserve">Assembly guide section 1.1.3</x:t>
        </x:is>
      </x:c>
      <x:c r="K27" s="7" t="inlineStr">
        <x:is>
          <x:t xml:space="preserve">Generic hardware</x:t>
        </x:is>
      </x:c>
      <x:c r="L27" s="7" t="inlineStr">
        <x:is>
          <x:t xml:space="preserve">Yes</x:t>
        </x:is>
      </x:c>
      <x:c r="M27" s="9" t="inlineStr">
        <x:is>
          <x:t xml:space="preserve"/>
        </x:is>
      </x:c>
      <x:c r="N27" s="7" t="inlineStr">
        <x:is>
          <x:t xml:space="preserve">USD</x:t>
        </x:is>
      </x:c>
      <x:c r="O27" s="10">
        <x:f>IF(AND(M27&lt;&gt;"",E27&lt;&gt;""),M27*E27,"")</x:f>
      </x:c>
      <x:c r="P27" s="7" t="inlineStr">
        <x:is>
          <x:t xml:space="preserve"/>
        </x:is>
      </x:c>
      <x:c r="Q27" s="7" t="inlineStr">
        <x:is>
          <x:t xml:space="preserve">Guide notes cutting M2x10 if exact length is unavailable.</x:t>
        </x:is>
      </x:c>
    </x:row>
    <x:row r="28">
      <x:c r="A28" s="2" t="n">
        <x:v>27</x:v>
      </x:c>
      <x:c r="B28" s="2" t="inlineStr">
        <x:is>
          <x:t xml:space="preserve">Hardware</x:t>
        </x:is>
      </x:c>
      <x:c r="C28" s="2" t="inlineStr">
        <x:is>
          <x:t xml:space="preserve">M2 nuts</x:t>
        </x:is>
      </x:c>
      <x:c r="D28" s="2" t="inlineStr">
        <x:is>
          <x:t xml:space="preserve">Servo horn mounting</x:t>
        </x:is>
      </x:c>
      <x:c r="E28" s="4" t="n">
        <x:v>36</x:v>
      </x:c>
      <x:c r="F28" s="2" t="inlineStr">
        <x:is>
          <x:t xml:space="preserve">pc</x:t>
        </x:is>
      </x:c>
      <x:c r="G28" s="2" t="inlineStr">
        <x:is>
          <x:t xml:space="preserve">Leg structure</x:t>
        </x:is>
      </x:c>
      <x:c r="H28" s="2" t="inlineStr">
        <x:is>
          <x:t xml:space="preserve">No</x:t>
        </x:is>
      </x:c>
      <x:c r="I28" s="2" t="inlineStr">
        <x:is>
          <x:t xml:space="preserve">Yes</x:t>
        </x:is>
      </x:c>
      <x:c r="J28" s="2" t="inlineStr">
        <x:is>
          <x:t xml:space="preserve">Assembly guide section 1.1.3</x:t>
        </x:is>
      </x:c>
      <x:c r="K28" s="2" t="inlineStr">
        <x:is>
          <x:t xml:space="preserve">Generic hardware</x:t>
        </x:is>
      </x:c>
      <x:c r="L28" s="2" t="inlineStr">
        <x:is>
          <x:t xml:space="preserve">No</x:t>
        </x:is>
      </x:c>
      <x:c r="M28" s="5" t="inlineStr">
        <x:is>
          <x:t xml:space="preserve"/>
        </x:is>
      </x:c>
      <x:c r="N28" s="2" t="inlineStr">
        <x:is>
          <x:t xml:space="preserve">USD</x:t>
        </x:is>
      </x:c>
      <x:c r="O28" s="6">
        <x:f>IF(AND(M28&lt;&gt;"",E28&lt;&gt;""),M28*E28,"")</x:f>
      </x:c>
      <x:c r="P28" s="2" t="inlineStr">
        <x:is>
          <x:t xml:space="preserve"/>
        </x:is>
      </x:c>
      <x:c r="Q28" s="2" t="inlineStr">
        <x:is>
          <x:t xml:space="preserve">One per horn bolt.</x:t>
        </x:is>
      </x:c>
    </x:row>
    <x:row r="29">
      <x:c r="A29" s="2" t="n">
        <x:v>28</x:v>
      </x:c>
      <x:c r="B29" s="2" t="inlineStr">
        <x:is>
          <x:t xml:space="preserve">Hardware</x:t>
        </x:is>
      </x:c>
      <x:c r="C29" s="2" t="inlineStr">
        <x:is>
          <x:t xml:space="preserve">M2x10 bolts</x:t>
        </x:is>
      </x:c>
      <x:c r="D29" s="2" t="inlineStr">
        <x:is>
          <x:t xml:space="preserve">Leg idler link assembly</x:t>
        </x:is>
      </x:c>
      <x:c r="E29" s="4" t="n">
        <x:v>36</x:v>
      </x:c>
      <x:c r="F29" s="2" t="inlineStr">
        <x:is>
          <x:t xml:space="preserve">pc</x:t>
        </x:is>
      </x:c>
      <x:c r="G29" s="2" t="inlineStr">
        <x:is>
          <x:t xml:space="preserve">Leg structure</x:t>
        </x:is>
      </x:c>
      <x:c r="H29" s="2" t="inlineStr">
        <x:is>
          <x:t xml:space="preserve">No</x:t>
        </x:is>
      </x:c>
      <x:c r="I29" s="2" t="inlineStr">
        <x:is>
          <x:t xml:space="preserve">Yes</x:t>
        </x:is>
      </x:c>
      <x:c r="J29" s="2" t="inlineStr">
        <x:is>
          <x:t xml:space="preserve">Assembly guide section 1.2.1</x:t>
        </x:is>
      </x:c>
      <x:c r="K29" s="2" t="inlineStr">
        <x:is>
          <x:t xml:space="preserve">Generic hardware</x:t>
        </x:is>
      </x:c>
      <x:c r="L29" s="2" t="inlineStr">
        <x:is>
          <x:t xml:space="preserve">No</x:t>
        </x:is>
      </x:c>
      <x:c r="M29" s="5" t="inlineStr">
        <x:is>
          <x:t xml:space="preserve"/>
        </x:is>
      </x:c>
      <x:c r="N29" s="2" t="inlineStr">
        <x:is>
          <x:t xml:space="preserve">USD</x:t>
        </x:is>
      </x:c>
      <x:c r="O29" s="6">
        <x:f>IF(AND(M29&lt;&gt;"",E29&lt;&gt;""),M29*E29,"")</x:f>
      </x:c>
      <x:c r="P29" s="2" t="inlineStr">
        <x:is>
          <x:t xml:space="preserve"/>
        </x:is>
      </x:c>
      <x:c r="Q29" s="2" t="inlineStr">
        <x:is>
          <x:t xml:space="preserve">Six per leg.</x:t>
        </x:is>
      </x:c>
    </x:row>
    <x:row r="30">
      <x:c r="A30" s="2" t="n">
        <x:v>29</x:v>
      </x:c>
      <x:c r="B30" s="2" t="inlineStr">
        <x:is>
          <x:t xml:space="preserve">Hardware</x:t>
        </x:is>
      </x:c>
      <x:c r="C30" s="2" t="inlineStr">
        <x:is>
          <x:t xml:space="preserve">M2 nuts</x:t>
        </x:is>
      </x:c>
      <x:c r="D30" s="2" t="inlineStr">
        <x:is>
          <x:t xml:space="preserve">Leg idler link assembly</x:t>
        </x:is>
      </x:c>
      <x:c r="E30" s="4" t="n">
        <x:v>36</x:v>
      </x:c>
      <x:c r="F30" s="2" t="inlineStr">
        <x:is>
          <x:t xml:space="preserve">pc</x:t>
        </x:is>
      </x:c>
      <x:c r="G30" s="2" t="inlineStr">
        <x:is>
          <x:t xml:space="preserve">Leg structure</x:t>
        </x:is>
      </x:c>
      <x:c r="H30" s="2" t="inlineStr">
        <x:is>
          <x:t xml:space="preserve">No</x:t>
        </x:is>
      </x:c>
      <x:c r="I30" s="2" t="inlineStr">
        <x:is>
          <x:t xml:space="preserve">Yes</x:t>
        </x:is>
      </x:c>
      <x:c r="J30" s="2" t="inlineStr">
        <x:is>
          <x:t xml:space="preserve">Assembly guide section 1.2.1</x:t>
        </x:is>
      </x:c>
      <x:c r="K30" s="2" t="inlineStr">
        <x:is>
          <x:t xml:space="preserve">Generic hardware</x:t>
        </x:is>
      </x:c>
      <x:c r="L30" s="2" t="inlineStr">
        <x:is>
          <x:t xml:space="preserve">No</x:t>
        </x:is>
      </x:c>
      <x:c r="M30" s="5" t="inlineStr">
        <x:is>
          <x:t xml:space="preserve"/>
        </x:is>
      </x:c>
      <x:c r="N30" s="2" t="inlineStr">
        <x:is>
          <x:t xml:space="preserve">USD</x:t>
        </x:is>
      </x:c>
      <x:c r="O30" s="6">
        <x:f>IF(AND(M30&lt;&gt;"",E30&lt;&gt;""),M30*E30,"")</x:f>
      </x:c>
      <x:c r="P30" s="2" t="inlineStr">
        <x:is>
          <x:t xml:space="preserve"/>
        </x:is>
      </x:c>
      <x:c r="Q30" s="2" t="inlineStr">
        <x:is>
          <x:t xml:space="preserve">Six per leg.</x:t>
        </x:is>
      </x:c>
    </x:row>
    <x:row r="31">
      <x:c r="A31" s="2" t="n">
        <x:v>30</x:v>
      </x:c>
      <x:c r="B31" s="2" t="inlineStr">
        <x:is>
          <x:t xml:space="preserve">Hardware</x:t>
        </x:is>
      </x:c>
      <x:c r="C31" s="2" t="inlineStr">
        <x:is>
          <x:t xml:space="preserve">M3x9 bolts</x:t>
        </x:is>
      </x:c>
      <x:c r="D31" s="2" t="inlineStr">
        <x:is>
          <x:t xml:space="preserve">Coxa servo mounts</x:t>
        </x:is>
      </x:c>
      <x:c r="E31" s="4" t="n">
        <x:v>12</x:v>
      </x:c>
      <x:c r="F31" s="2" t="inlineStr">
        <x:is>
          <x:t xml:space="preserve">pc</x:t>
        </x:is>
      </x:c>
      <x:c r="G31" s="2" t="inlineStr">
        <x:is>
          <x:t xml:space="preserve">Leg structure</x:t>
        </x:is>
      </x:c>
      <x:c r="H31" s="2" t="inlineStr">
        <x:is>
          <x:t xml:space="preserve">No</x:t>
        </x:is>
      </x:c>
      <x:c r="I31" s="2" t="inlineStr">
        <x:is>
          <x:t xml:space="preserve">Yes</x:t>
        </x:is>
      </x:c>
      <x:c r="J31" s="2" t="inlineStr">
        <x:is>
          <x:t xml:space="preserve">Assembly guide section 1.1.4</x:t>
        </x:is>
      </x:c>
      <x:c r="K31" s="2" t="inlineStr">
        <x:is>
          <x:t xml:space="preserve">Generic hardware</x:t>
        </x:is>
      </x:c>
      <x:c r="L31" s="2" t="inlineStr">
        <x:is>
          <x:t xml:space="preserve">No</x:t>
        </x:is>
      </x:c>
      <x:c r="M31" s="5" t="inlineStr">
        <x:is>
          <x:t xml:space="preserve"/>
        </x:is>
      </x:c>
      <x:c r="N31" s="2" t="inlineStr">
        <x:is>
          <x:t xml:space="preserve">USD</x:t>
        </x:is>
      </x:c>
      <x:c r="O31" s="6">
        <x:f>IF(AND(M31&lt;&gt;"",E31&lt;&gt;""),M31*E31,"")</x:f>
      </x:c>
      <x:c r="P31" s="2" t="inlineStr">
        <x:is>
          <x:t xml:space="preserve"/>
        </x:is>
      </x:c>
      <x:c r="Q31" s="2" t="inlineStr">
        <x:is>
          <x:t xml:space="preserve">Two per coxa servo mount in the guide.</x:t>
        </x:is>
      </x:c>
    </x:row>
    <x:row r="32">
      <x:c r="A32" s="7" t="n">
        <x:v>31</x:v>
      </x:c>
      <x:c r="B32" s="7" t="inlineStr">
        <x:is>
          <x:t xml:space="preserve">Hardware</x:t>
        </x:is>
      </x:c>
      <x:c r="C32" s="7" t="inlineStr">
        <x:is>
          <x:t xml:space="preserve">M3 nuts</x:t>
        </x:is>
      </x:c>
      <x:c r="D32" s="7" t="inlineStr">
        <x:is>
          <x:t xml:space="preserve">Coxa servo mounts</x:t>
        </x:is>
      </x:c>
      <x:c r="E32" s="8" t="n">
        <x:v>12</x:v>
      </x:c>
      <x:c r="F32" s="7" t="inlineStr">
        <x:is>
          <x:t xml:space="preserve">pc</x:t>
        </x:is>
      </x:c>
      <x:c r="G32" s="7" t="inlineStr">
        <x:is>
          <x:t xml:space="preserve">Leg structure</x:t>
        </x:is>
      </x:c>
      <x:c r="H32" s="7" t="inlineStr">
        <x:is>
          <x:t xml:space="preserve">No</x:t>
        </x:is>
      </x:c>
      <x:c r="I32" s="7" t="inlineStr">
        <x:is>
          <x:t xml:space="preserve">Yes</x:t>
        </x:is>
      </x:c>
      <x:c r="J32" s="7" t="inlineStr">
        <x:is>
          <x:t xml:space="preserve">Assembly guide section 1.1.4</x:t>
        </x:is>
      </x:c>
      <x:c r="K32" s="7" t="inlineStr">
        <x:is>
          <x:t xml:space="preserve">Generic hardware</x:t>
        </x:is>
      </x:c>
      <x:c r="L32" s="7" t="inlineStr">
        <x:is>
          <x:t xml:space="preserve">Yes</x:t>
        </x:is>
      </x:c>
      <x:c r="M32" s="9" t="inlineStr">
        <x:is>
          <x:t xml:space="preserve"/>
        </x:is>
      </x:c>
      <x:c r="N32" s="7" t="inlineStr">
        <x:is>
          <x:t xml:space="preserve">USD</x:t>
        </x:is>
      </x:c>
      <x:c r="O32" s="10">
        <x:f>IF(AND(M32&lt;&gt;"",E32&lt;&gt;""),M32*E32,"")</x:f>
      </x:c>
      <x:c r="P32" s="7" t="inlineStr">
        <x:is>
          <x:t xml:space="preserve"/>
        </x:is>
      </x:c>
      <x:c r="Q32" s="7" t="inlineStr">
        <x:is>
          <x:t xml:space="preserve">Guide text says M2 nuts, likely typo because bolts are M3.</x:t>
        </x:is>
      </x:c>
    </x:row>
    <x:row r="33">
      <x:c r="A33" s="2" t="n">
        <x:v>32</x:v>
      </x:c>
      <x:c r="B33" s="2" t="inlineStr">
        <x:is>
          <x:t xml:space="preserve">Hardware</x:t>
        </x:is>
      </x:c>
      <x:c r="C33" s="2" t="inlineStr">
        <x:is>
          <x:t xml:space="preserve">M3x9 bolts</x:t>
        </x:is>
      </x:c>
      <x:c r="D33" s="2" t="inlineStr">
        <x:is>
          <x:t xml:space="preserve">SSC-32 mount</x:t>
        </x:is>
      </x:c>
      <x:c r="E33" s="4" t="n">
        <x:v>4</x:v>
      </x:c>
      <x:c r="F33" s="2" t="inlineStr">
        <x:is>
          <x:t xml:space="preserve">pc</x:t>
        </x:is>
      </x:c>
      <x:c r="G33" s="2" t="inlineStr">
        <x:is>
          <x:t xml:space="preserve">Control electronics</x:t>
        </x:is>
      </x:c>
      <x:c r="H33" s="2" t="inlineStr">
        <x:is>
          <x:t xml:space="preserve">No</x:t>
        </x:is>
      </x:c>
      <x:c r="I33" s="2" t="inlineStr">
        <x:is>
          <x:t xml:space="preserve">Yes</x:t>
        </x:is>
      </x:c>
      <x:c r="J33" s="2" t="inlineStr">
        <x:is>
          <x:t xml:space="preserve">Assembly guide section 1.1.5</x:t>
        </x:is>
      </x:c>
      <x:c r="K33" s="2" t="inlineStr">
        <x:is>
          <x:t xml:space="preserve">Generic hardware</x:t>
        </x:is>
      </x:c>
      <x:c r="L33" s="2" t="inlineStr">
        <x:is>
          <x:t xml:space="preserve">No</x:t>
        </x:is>
      </x:c>
      <x:c r="M33" s="5" t="inlineStr">
        <x:is>
          <x:t xml:space="preserve"/>
        </x:is>
      </x:c>
      <x:c r="N33" s="2" t="inlineStr">
        <x:is>
          <x:t xml:space="preserve">USD</x:t>
        </x:is>
      </x:c>
      <x:c r="O33" s="6">
        <x:f>IF(AND(M33&lt;&gt;"",E33&lt;&gt;""),M33*E33,"")</x:f>
      </x:c>
      <x:c r="P33" s="2" t="inlineStr">
        <x:is>
          <x:t xml:space="preserve"/>
        </x:is>
      </x:c>
      <x:c r="Q33" s="2" t="inlineStr">
        <x:is>
          <x:t xml:space="preserve">Longer bolts acceptable per guide.</x:t>
        </x:is>
      </x:c>
    </x:row>
    <x:row r="34">
      <x:c r="A34" s="2" t="n">
        <x:v>33</x:v>
      </x:c>
      <x:c r="B34" s="2" t="inlineStr">
        <x:is>
          <x:t xml:space="preserve">Hardware</x:t>
        </x:is>
      </x:c>
      <x:c r="C34" s="2" t="inlineStr">
        <x:is>
          <x:t xml:space="preserve">M3 nuts</x:t>
        </x:is>
      </x:c>
      <x:c r="D34" s="2" t="inlineStr">
        <x:is>
          <x:t xml:space="preserve">SSC-32 mount</x:t>
        </x:is>
      </x:c>
      <x:c r="E34" s="4" t="n">
        <x:v>4</x:v>
      </x:c>
      <x:c r="F34" s="2" t="inlineStr">
        <x:is>
          <x:t xml:space="preserve">pc</x:t>
        </x:is>
      </x:c>
      <x:c r="G34" s="2" t="inlineStr">
        <x:is>
          <x:t xml:space="preserve">Control electronics</x:t>
        </x:is>
      </x:c>
      <x:c r="H34" s="2" t="inlineStr">
        <x:is>
          <x:t xml:space="preserve">No</x:t>
        </x:is>
      </x:c>
      <x:c r="I34" s="2" t="inlineStr">
        <x:is>
          <x:t xml:space="preserve">Yes</x:t>
        </x:is>
      </x:c>
      <x:c r="J34" s="2" t="inlineStr">
        <x:is>
          <x:t xml:space="preserve">Assembly guide section 1.1.5</x:t>
        </x:is>
      </x:c>
      <x:c r="K34" s="2" t="inlineStr">
        <x:is>
          <x:t xml:space="preserve">Generic hardware</x:t>
        </x:is>
      </x:c>
      <x:c r="L34" s="2" t="inlineStr">
        <x:is>
          <x:t xml:space="preserve">No</x:t>
        </x:is>
      </x:c>
      <x:c r="M34" s="5" t="inlineStr">
        <x:is>
          <x:t xml:space="preserve"/>
        </x:is>
      </x:c>
      <x:c r="N34" s="2" t="inlineStr">
        <x:is>
          <x:t xml:space="preserve">USD</x:t>
        </x:is>
      </x:c>
      <x:c r="O34" s="6">
        <x:f>IF(AND(M34&lt;&gt;"",E34&lt;&gt;""),M34*E34,"")</x:f>
      </x:c>
      <x:c r="P34" s="2" t="inlineStr">
        <x:is>
          <x:t xml:space="preserve"/>
        </x:is>
      </x:c>
      <x:c r="Q34" s="2" t="inlineStr">
        <x:is>
          <x:t xml:space="preserve">For lower chassis board mounting.</x:t>
        </x:is>
      </x:c>
    </x:row>
    <x:row r="35">
      <x:c r="A35" s="2" t="n">
        <x:v>34</x:v>
      </x:c>
      <x:c r="B35" s="2" t="inlineStr">
        <x:is>
          <x:t xml:space="preserve">Hardware</x:t>
        </x:is>
      </x:c>
      <x:c r="C35" s="2" t="inlineStr">
        <x:is>
          <x:t xml:space="preserve">M3x16 bolts</x:t>
        </x:is>
      </x:c>
      <x:c r="D35" s="2" t="inlineStr">
        <x:is>
          <x:t xml:space="preserve">Tibia/Femur servos</x:t>
        </x:is>
      </x:c>
      <x:c r="E35" s="4" t="n">
        <x:v>48</x:v>
      </x:c>
      <x:c r="F35" s="2" t="inlineStr">
        <x:is>
          <x:t xml:space="preserve">pc</x:t>
        </x:is>
      </x:c>
      <x:c r="G35" s="2" t="inlineStr">
        <x:is>
          <x:t xml:space="preserve">Leg structure</x:t>
        </x:is>
      </x:c>
      <x:c r="H35" s="2" t="inlineStr">
        <x:is>
          <x:t xml:space="preserve">No</x:t>
        </x:is>
      </x:c>
      <x:c r="I35" s="2" t="inlineStr">
        <x:is>
          <x:t xml:space="preserve">Yes</x:t>
        </x:is>
      </x:c>
      <x:c r="J35" s="2" t="inlineStr">
        <x:is>
          <x:t xml:space="preserve">Assembly guide section 1.2.1</x:t>
        </x:is>
      </x:c>
      <x:c r="K35" s="2" t="inlineStr">
        <x:is>
          <x:t xml:space="preserve">Generic hardware</x:t>
        </x:is>
      </x:c>
      <x:c r="L35" s="2" t="inlineStr">
        <x:is>
          <x:t xml:space="preserve">No</x:t>
        </x:is>
      </x:c>
      <x:c r="M35" s="5" t="inlineStr">
        <x:is>
          <x:t xml:space="preserve"/>
        </x:is>
      </x:c>
      <x:c r="N35" s="2" t="inlineStr">
        <x:is>
          <x:t xml:space="preserve">USD</x:t>
        </x:is>
      </x:c>
      <x:c r="O35" s="6">
        <x:f>IF(AND(M35&lt;&gt;"",E35&lt;&gt;""),M35*E35,"")</x:f>
      </x:c>
      <x:c r="P35" s="2" t="inlineStr">
        <x:is>
          <x:t xml:space="preserve"/>
        </x:is>
      </x:c>
      <x:c r="Q35" s="2" t="inlineStr">
        <x:is>
          <x:t xml:space="preserve">Eight per leg if using four bolts per servo.</x:t>
        </x:is>
      </x:c>
    </x:row>
    <x:row r="36">
      <x:c r="A36" s="2" t="n">
        <x:v>35</x:v>
      </x:c>
      <x:c r="B36" s="2" t="inlineStr">
        <x:is>
          <x:t xml:space="preserve">Hardware</x:t>
        </x:is>
      </x:c>
      <x:c r="C36" s="2" t="inlineStr">
        <x:is>
          <x:t xml:space="preserve">M3 nuts</x:t>
        </x:is>
      </x:c>
      <x:c r="D36" s="2" t="inlineStr">
        <x:is>
          <x:t xml:space="preserve">Tibia/Femur servos</x:t>
        </x:is>
      </x:c>
      <x:c r="E36" s="4" t="n">
        <x:v>48</x:v>
      </x:c>
      <x:c r="F36" s="2" t="inlineStr">
        <x:is>
          <x:t xml:space="preserve">pc</x:t>
        </x:is>
      </x:c>
      <x:c r="G36" s="2" t="inlineStr">
        <x:is>
          <x:t xml:space="preserve">Leg structure</x:t>
        </x:is>
      </x:c>
      <x:c r="H36" s="2" t="inlineStr">
        <x:is>
          <x:t xml:space="preserve">No</x:t>
        </x:is>
      </x:c>
      <x:c r="I36" s="2" t="inlineStr">
        <x:is>
          <x:t xml:space="preserve">Yes</x:t>
        </x:is>
      </x:c>
      <x:c r="J36" s="2" t="inlineStr">
        <x:is>
          <x:t xml:space="preserve">Assembly guide section 1.2.1</x:t>
        </x:is>
      </x:c>
      <x:c r="K36" s="2" t="inlineStr">
        <x:is>
          <x:t xml:space="preserve">Generic hardware</x:t>
        </x:is>
      </x:c>
      <x:c r="L36" s="2" t="inlineStr">
        <x:is>
          <x:t xml:space="preserve">No</x:t>
        </x:is>
      </x:c>
      <x:c r="M36" s="5" t="inlineStr">
        <x:is>
          <x:t xml:space="preserve"/>
        </x:is>
      </x:c>
      <x:c r="N36" s="2" t="inlineStr">
        <x:is>
          <x:t xml:space="preserve">USD</x:t>
        </x:is>
      </x:c>
      <x:c r="O36" s="6">
        <x:f>IF(AND(M36&lt;&gt;"",E36&lt;&gt;""),M36*E36,"")</x:f>
      </x:c>
      <x:c r="P36" s="2" t="inlineStr">
        <x:is>
          <x:t xml:space="preserve"/>
        </x:is>
      </x:c>
      <x:c r="Q36" s="2" t="inlineStr">
        <x:is>
          <x:t xml:space="preserve">Eight per leg if using four bolts per servo.</x:t>
        </x:is>
      </x:c>
    </x:row>
    <x:row r="37">
      <x:c r="A37" s="2" t="n">
        <x:v>36</x:v>
      </x:c>
      <x:c r="B37" s="2" t="inlineStr">
        <x:is>
          <x:t xml:space="preserve">Consumables</x:t>
        </x:is>
      </x:c>
      <x:c r="C37" s="2" t="inlineStr">
        <x:is>
          <x:t xml:space="preserve">Threadlocker</x:t>
        </x:is>
      </x:c>
      <x:c r="D37" s="2" t="inlineStr">
        <x:is>
          <x:t xml:space="preserve">Horn bolts</x:t>
        </x:is>
      </x:c>
      <x:c r="E37" s="4" t="n">
        <x:v>1</x:v>
      </x:c>
      <x:c r="F37" s="2" t="inlineStr">
        <x:is>
          <x:t xml:space="preserve">bottle</x:t>
        </x:is>
      </x:c>
      <x:c r="G37" s="2" t="inlineStr">
        <x:is>
          <x:t xml:space="preserve">Assembly</x:t>
        </x:is>
      </x:c>
      <x:c r="H37" s="2" t="inlineStr">
        <x:is>
          <x:t xml:space="preserve">No</x:t>
        </x:is>
      </x:c>
      <x:c r="I37" s="2" t="inlineStr">
        <x:is>
          <x:t xml:space="preserve">Yes</x:t>
        </x:is>
      </x:c>
      <x:c r="J37" s="2" t="inlineStr">
        <x:is>
          <x:t xml:space="preserve">Assembly guide section 1.1.3</x:t>
        </x:is>
      </x:c>
      <x:c r="K37" s="2" t="inlineStr">
        <x:is>
          <x:t xml:space="preserve">Generic consumable</x:t>
        </x:is>
      </x:c>
      <x:c r="L37" s="2" t="inlineStr">
        <x:is>
          <x:t xml:space="preserve">No</x:t>
        </x:is>
      </x:c>
      <x:c r="M37" s="5" t="inlineStr">
        <x:is>
          <x:t xml:space="preserve"/>
        </x:is>
      </x:c>
      <x:c r="N37" s="2" t="inlineStr">
        <x:is>
          <x:t xml:space="preserve">USD</x:t>
        </x:is>
      </x:c>
      <x:c r="O37" s="6">
        <x:f>IF(AND(M37&lt;&gt;"",E37&lt;&gt;""),M37*E37,"")</x:f>
      </x:c>
      <x:c r="P37" s="2" t="inlineStr">
        <x:is>
          <x:t xml:space="preserve"/>
        </x:is>
      </x:c>
      <x:c r="Q37" s="2" t="inlineStr">
        <x:is>
          <x:t xml:space="preserve">Guide strongly recommends generous application.</x:t>
        </x:is>
      </x:c>
    </x:row>
    <x:row r="38">
      <x:c r="A38" s="2" t="n">
        <x:v>37</x:v>
      </x:c>
      <x:c r="B38" s="2" t="inlineStr">
        <x:is>
          <x:t xml:space="preserve">Consumables</x:t>
        </x:is>
      </x:c>
      <x:c r="C38" s="2" t="inlineStr">
        <x:is>
          <x:t xml:space="preserve">Cable ties / zip ties</x:t>
        </x:is>
      </x:c>
      <x:c r="D38" s="2" t="inlineStr">
        <x:is>
          <x:t xml:space="preserve">Wire management</x:t>
        </x:is>
      </x:c>
      <x:c r="E38" s="4" t="n">
        <x:v>1</x:v>
      </x:c>
      <x:c r="F38" s="2" t="inlineStr">
        <x:is>
          <x:t xml:space="preserve">pack</x:t>
        </x:is>
      </x:c>
      <x:c r="G38" s="2" t="inlineStr">
        <x:is>
          <x:t xml:space="preserve">Assembly</x:t>
        </x:is>
      </x:c>
      <x:c r="H38" s="2" t="inlineStr">
        <x:is>
          <x:t xml:space="preserve">No</x:t>
        </x:is>
      </x:c>
      <x:c r="I38" s="2" t="inlineStr">
        <x:is>
          <x:t xml:space="preserve">Optional</x:t>
        </x:is>
      </x:c>
      <x:c r="J38" s="2" t="inlineStr">
        <x:is>
          <x:t xml:space="preserve">Guide comment in chassis section</x:t>
        </x:is>
      </x:c>
      <x:c r="K38" s="2" t="inlineStr">
        <x:is>
          <x:t xml:space="preserve">Generic consumable</x:t>
        </x:is>
      </x:c>
      <x:c r="L38" s="2" t="inlineStr">
        <x:is>
          <x:t xml:space="preserve">No</x:t>
        </x:is>
      </x:c>
      <x:c r="M38" s="5" t="inlineStr">
        <x:is>
          <x:t xml:space="preserve"/>
        </x:is>
      </x:c>
      <x:c r="N38" s="2" t="inlineStr">
        <x:is>
          <x:t xml:space="preserve">USD</x:t>
        </x:is>
      </x:c>
      <x:c r="O38" s="6">
        <x:f>IF(AND(M38&lt;&gt;"",E38&lt;&gt;""),M38*E38,"")</x:f>
      </x:c>
      <x:c r="P38" s="2" t="inlineStr">
        <x:is>
          <x:t xml:space="preserve"/>
        </x:is>
      </x:c>
      <x:c r="Q38" s="2" t="inlineStr">
        <x:is>
          <x:t xml:space="preserve">Recommended for power/wire restraint.</x:t>
        </x:is>
      </x:c>
    </x:row>
  </x:sheetData>
  <x:pageMargins left="0.7" right="0.7" top="0.75" bottom="0.75" header="0.3" footer="0.3"/>
  <x:legacyDrawing xmlns:r="http://schemas.openxmlformats.org/officeDocument/2006/relationships" r:id="R085ea298ae3741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</x:cols>
  <x:sheetData>
    <x:row r="1">
      <x:c r="A1" s="11" t="inlineStr">
        <x:is>
          <x:t xml:space="preserve">CinoGear Spider 18DOF BOM Summary</x:t>
        </x:is>
      </x:c>
      <x:c r="B1" s="12" t="n"/>
    </x:row>
    <x:row r="2">
      <x:c r="A2" s="12" t="n"/>
      <x:c r="B2" s="12" t="n"/>
    </x:row>
    <x:row r="3">
      <x:c r="A3" s="13" t="inlineStr">
        <x:is>
          <x:t xml:space="preserve">Metric</x:t>
        </x:is>
      </x:c>
      <x:c r="B3" s="13" t="inlineStr">
        <x:is>
          <x:t xml:space="preserve">Value</x:t>
        </x:is>
      </x:c>
    </x:row>
    <x:row r="4">
      <x:c r="A4" s="12" t="inlineStr">
        <x:is>
          <x:t xml:space="preserve">Total BOM line items</x:t>
        </x:is>
      </x:c>
      <x:c r="B4" s="14">
        <x:f>COUNTA(BOM_Master!A:A)-1</x:f>
        <x:v>37</x:v>
      </x:c>
    </x:row>
    <x:row r="5">
      <x:c r="A5" s="12" t="inlineStr">
        <x:is>
          <x:t xml:space="preserve">3D printed line items</x:t>
        </x:is>
      </x:c>
      <x:c r="B5" s="14">
        <x:f>COUNTIF(BOM_Master!B:B,"3D Printed")</x:f>
        <x:v>12</x:v>
      </x:c>
    </x:row>
    <x:row r="6">
      <x:c r="A6" s="12" t="inlineStr">
        <x:is>
          <x:t xml:space="preserve">Electronics line items</x:t>
        </x:is>
      </x:c>
      <x:c r="B6" s="14">
        <x:f>COUNTIF(BOM_Master!B:B,"Electronics")</x:f>
        <x:v>7</x:v>
      </x:c>
    </x:row>
    <x:row r="7">
      <x:c r="A7" s="12" t="inlineStr">
        <x:is>
          <x:t xml:space="preserve">Hardware line items</x:t>
        </x:is>
      </x:c>
      <x:c r="B7" s="14">
        <x:f>COUNTIF(BOM_Master!B:B,"Hardware")</x:f>
        <x:v>16</x:v>
      </x:c>
    </x:row>
    <x:row r="8">
      <x:c r="A8" s="12" t="inlineStr">
        <x:is>
          <x:t xml:space="preserve">Consumables line items</x:t>
        </x:is>
      </x:c>
      <x:c r="B8" s="14">
        <x:f>COUNTIF(BOM_Master!B:B,"Consumables")</x:f>
        <x:v>2</x:v>
      </x:c>
    </x:row>
    <x:row r="9">
      <x:c r="A9" s="12" t="inlineStr">
        <x:is>
          <x:t xml:space="preserve">Total servos required</x:t>
        </x:is>
      </x:c>
      <x:c r="B9" s="14">
        <x:f>SUMIFS(BOM_Master!E:E,BOM_Master!C:C,"RC servo")</x:f>
        <x:v>18</x:v>
      </x:c>
    </x:row>
    <x:row r="10">
      <x:c r="A10" s="12" t="inlineStr">
        <x:is>
          <x:t xml:space="preserve">Rows flagged verify</x:t>
        </x:is>
      </x:c>
      <x:c r="B10" s="14">
        <x:f>COUNTIF(BOM_Master!L:L,"Yes")</x:f>
        <x:v>7</x:v>
      </x:c>
    </x:row>
    <x:row r="11">
      <x:c r="A11" s="12" t="inlineStr">
        <x:is>
          <x:t xml:space="preserve">Entered total estimated cost</x:t>
        </x:is>
      </x:c>
      <x:c r="B11" s="6">
        <x:f>SUM(BOM_Master!O:O)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88" customWidth="1"/>
  </x:cols>
  <x:sheetData>
    <x:row r="1">
      <x:c r="A1" s="15" t="inlineStr">
        <x:is>
          <x:t xml:space="preserve">Topic</x:t>
        </x:is>
      </x:c>
      <x:c r="B1" s="15" t="inlineStr">
        <x:is>
          <x:t xml:space="preserve">Value / Assumption</x:t>
        </x:is>
      </x:c>
    </x:row>
    <x:row r="2">
      <x:c r="A2" s="12" t="inlineStr">
        <x:is>
          <x:t xml:space="preserve">Default build variant</x:t>
        </x:is>
      </x:c>
      <x:c r="B2" s="12" t="inlineStr">
        <x:is>
          <x:t xml:space="preserve">All legs identical (non-mirrored / antisymmetric visual layout).</x:t>
        </x:is>
      </x:c>
    </x:row>
    <x:row r="3">
      <x:c r="A3" s="12" t="inlineStr">
        <x:is>
          <x:t xml:space="preserve">Mirrored variant note</x:t>
        </x:is>
      </x:c>
      <x:c r="B3" s="12" t="inlineStr">
        <x:is>
          <x:t xml:space="preserve">Replace 3x Coxa, 3x Tibia, 6x TibiaBearing with mirror STL variants.</x:t>
        </x:is>
      </x:c>
    </x:row>
    <x:row r="4">
      <x:c r="A4" s="12" t="inlineStr">
        <x:is>
          <x:t xml:space="preserve">Servo centering</x:t>
        </x:is>
      </x:c>
      <x:c r="B4" s="12" t="inlineStr">
        <x:is>
          <x:t xml:space="preserve">Center servos to 1500 us on SSC-32 before installing horns / links.</x:t>
        </x:is>
      </x:c>
    </x:row>
    <x:row r="5">
      <x:c r="A5" s="12" t="inlineStr">
        <x:is>
          <x:t xml:space="preserve">Bot controller sketch</x:t>
        </x:is>
      </x:c>
      <x:c r="B5" s="12" t="inlineStr">
        <x:is>
          <x:t xml:space="preserve">BotBoarduino_CH3R_PS2</x:t>
        </x:is>
      </x:c>
    </x:row>
    <x:row r="6">
      <x:c r="A6" s="12" t="inlineStr">
        <x:is>
          <x:t xml:space="preserve">PS2 library</x:t>
        </x:is>
      </x:c>
      <x:c r="B6" s="12" t="inlineStr">
        <x:is>
          <x:t xml:space="preserve">PS2X_Library/PS2X_lib</x:t>
        </x:is>
      </x:c>
    </x:row>
    <x:row r="7">
      <x:c r="A7" s="12" t="inlineStr">
        <x:is>
          <x:t xml:space="preserve">Servo controller serial rate</x:t>
        </x:is>
      </x:c>
      <x:c r="B7" s="12" t="inlineStr">
        <x:is>
          <x:t xml:space="preserve">38400 baud</x:t>
        </x:is>
      </x:c>
    </x:row>
    <x:row r="8">
      <x:c r="A8" s="12" t="inlineStr">
        <x:is>
          <x:t xml:space="preserve">Geometry in current Hex_Cfg.h</x:t>
        </x:is>
      </x:c>
      <x:c r="B8" s="12" t="inlineStr">
        <x:is>
          <x:t xml:space="preserve">Coxa 35 mm / Femur 100 mm / Tibia 100 mm / Init Y 60 mm / Init XZ 120 mm</x:t>
        </x:is>
      </x:c>
    </x:row>
    <x:row r="9">
      <x:c r="A9" s="12" t="inlineStr">
        <x:is>
          <x:t xml:space="preserve">Open items to verify</x:t>
        </x:is>
      </x:c>
      <x:c r="B9" s="12" t="inlineStr">
        <x:is>
          <x:t xml:space="preserve">Servo exact model, power system spec, femur idler ball count, coxa mount nut size, upstream commercial rights.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34" customWidth="1"/>
    <x:col min="3" max="3" width="42" customWidth="1"/>
    <x:col min="4" max="4" width="42" customWidth="1"/>
  </x:cols>
  <x:sheetData>
    <x:row r="1">
      <x:c r="A1" s="15" t="inlineStr">
        <x:is>
          <x:t xml:space="preserve">Component / Name</x:t>
        </x:is>
      </x:c>
      <x:c r="B1" s="15" t="inlineStr">
        <x:is>
          <x:t xml:space="preserve">Why it matters</x:t>
        </x:is>
      </x:c>
      <x:c r="C1" s="15" t="inlineStr">
        <x:is>
          <x:t xml:space="preserve">Reference URL</x:t>
        </x:is>
      </x:c>
      <x:c r="D1" s="15" t="inlineStr">
        <x:is>
          <x:t xml:space="preserve">Action before sale</x:t>
        </x:is>
      </x:c>
    </x:row>
    <x:row r="2">
      <x:c r="A2" s="12" t="inlineStr">
        <x:is>
          <x:t xml:space="preserve">SSC-32 / SSC-32U</x:t>
        </x:is>
      </x:c>
      <x:c r="B2" s="12" t="inlineStr">
        <x:is>
          <x:t xml:space="preserve">Hardware compatibility reference and trademark-sensitive naming</x:t>
        </x:is>
      </x:c>
      <x:c r="C2" s="12" t="inlineStr">
        <x:is>
          <x:t xml:space="preserve">https://www.lynxmotion.com/ses-v1-modular-robot-system/</x:t>
        </x:is>
      </x:c>
      <x:c r="D2" s="12" t="inlineStr">
        <x:is>
          <x:t xml:space="preserve">Use nominative compatibility wording only; do not imply affiliation.</x:t>
        </x:is>
      </x:c>
    </x:row>
    <x:row r="3">
      <x:c r="A3" s="12" t="inlineStr">
        <x:is>
          <x:t xml:space="preserve">BotBoarduino</x:t>
        </x:is>
      </x:c>
      <x:c r="B3" s="12" t="inlineStr">
        <x:is>
          <x:t xml:space="preserve">Board naming / compatibility reference</x:t>
        </x:is>
      </x:c>
      <x:c r="C3" s="12" t="inlineStr">
        <x:is>
          <x:t xml:space="preserve">https://www.lynxmotion.com/ses-v1-modular-robot-system/</x:t>
        </x:is>
      </x:c>
      <x:c r="D3" s="12" t="inlineStr">
        <x:is>
          <x:t xml:space="preserve">Reference as compatible hardware ecosystem.</x:t>
        </x:is>
      </x:c>
    </x:row>
    <x:row r="4">
      <x:c r="A4" s="12" t="inlineStr">
        <x:is>
          <x:t xml:space="preserve">Phoenix lineage</x:t>
        </x:is>
      </x:c>
      <x:c r="B4" s="12" t="inlineStr">
        <x:is>
          <x:t xml:space="preserve">Uploaded controller source appears Phoenix-derived</x:t>
        </x:is>
      </x:c>
      <x:c r="C4" s="12" t="inlineStr">
        <x:is>
          <x:t xml:space="preserve">https://www.lynxmotion.com/ses-v1-legged-robot/</x:t>
        </x:is>
      </x:c>
      <x:c r="D4" s="12" t="inlineStr">
        <x:is>
          <x:t xml:space="preserve">Manually verify upstream code licensing/permission before sale.</x:t>
        </x:is>
      </x:c>
    </x:row>
    <x:row r="5">
      <x:c r="A5" s="12" t="inlineStr">
        <x:is>
          <x:t xml:space="preserve">PS2X Library</x:t>
        </x:is>
      </x:c>
      <x:c r="B5" s="12" t="inlineStr">
        <x:is>
          <x:t xml:space="preserve">Included third-party source dependency</x:t>
        </x:is>
      </x:c>
      <x:c r="C5" s="12" t="inlineStr">
        <x:is>
          <x:t xml:space="preserve">https://www.billporter.info/2010/06/05/playstation-2-controller-arduino-library-v1-0/</x:t>
        </x:is>
      </x:c>
      <x:c r="D5" s="12" t="inlineStr">
        <x:is>
          <x:t xml:space="preserve">Keep original credits / notice intact.</x:t>
        </x:is>
      </x:c>
    </x:row>
    <x:row r="6">
      <x:c r="A6" s="12" t="inlineStr">
        <x:is>
          <x:t xml:space="preserve">GNU GPL v3</x:t>
        </x:is>
      </x:c>
      <x:c r="B6" s="12" t="inlineStr">
        <x:is>
          <x:t xml:space="preserve">PS2X readme/header points to GPL v3 or later</x:t>
        </x:is>
      </x:c>
      <x:c r="C6" s="12" t="inlineStr">
        <x:is>
          <x:t xml:space="preserve">https://www.gnu.org/licenses/gpl-3.0.html</x:t>
        </x:is>
      </x:c>
      <x:c r="D6" s="12" t="inlineStr">
        <x:is>
          <x:t xml:space="preserve">Review obligations if you redistribute the library or a derivative package.</x:t>
        </x:is>
      </x:c>
    </x:row>
  </x:sheetData>
  <x:pageMargins left="0.7" right="0.7" top="0.75" bottom="0.75" header="0.3" footer="0.3"/>
</x:worksheet>
</file>